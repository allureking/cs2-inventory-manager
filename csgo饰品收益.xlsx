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60" windowHeight="10950"/>
  </bookViews>
  <sheets>
    <sheet name="KHH" sheetId="1" r:id="rId1"/>
    <sheet name="HYH4-6月" sheetId="2" state="hidden" r:id="rId2"/>
    <sheet name="HYH" sheetId="3" state="hidden" r:id="rId3"/>
    <sheet name="KHH (更新前）" sheetId="9" state="hidden" r:id="rId4"/>
    <sheet name="HYH(更新前）" sheetId="10" state="hidden" r:id="rId5"/>
  </sheets>
  <definedNames>
    <definedName name="_xlnm._FilterDatabase" localSheetId="1" hidden="1">'HYH4-6月'!$Q$1:$Q$11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<sst xmlns="http://schemas.openxmlformats.org/spreadsheetml/2006/main" count="160" uniqueCount="75">
  <si>
    <t xml:space="preserve"> </t>
  </si>
  <si>
    <t>出租总件数</t>
  </si>
  <si>
    <t>总价值</t>
  </si>
  <si>
    <t>总收益/天</t>
  </si>
  <si>
    <t>短租年化</t>
  </si>
  <si>
    <t>长租年化</t>
  </si>
  <si>
    <t>综合年化</t>
  </si>
  <si>
    <t>单件收益/天</t>
  </si>
  <si>
    <t>总库存</t>
  </si>
  <si>
    <t>库存总价值</t>
  </si>
  <si>
    <t>涨跌</t>
  </si>
  <si>
    <t>买断</t>
  </si>
  <si>
    <t>月份</t>
  </si>
  <si>
    <t>服务费</t>
  </si>
  <si>
    <t>总收入</t>
  </si>
  <si>
    <t>净租金</t>
  </si>
  <si>
    <t>额外收益</t>
  </si>
  <si>
    <t>利润</t>
  </si>
  <si>
    <t>净租金年化</t>
  </si>
  <si>
    <t>到手年化</t>
  </si>
  <si>
    <t xml:space="preserve">7月出售饰品资金转回求购50853.35 (15148.5+1208.81+16786.21+6889.15+12764.97-1944.29) </t>
  </si>
  <si>
    <t>8月出售饰品资金转回求购61297.26 (35001.84 + 26295.42)</t>
  </si>
  <si>
    <t>9月出售饰品资金转回求购13685.21(3960.41 + 649.6美洲豹过户 + 5432.03 + 3215.37 + 427.8)</t>
  </si>
  <si>
    <t>7月(中国时区更正版）</t>
  </si>
  <si>
    <t xml:space="preserve">( 2.15开始清仓出售饰品） </t>
  </si>
  <si>
    <t xml:space="preserve"> 2025年7月底建仓</t>
  </si>
  <si>
    <t>SteamDT当日大盘指数</t>
  </si>
  <si>
    <t>总收益</t>
  </si>
  <si>
    <t>8月</t>
  </si>
  <si>
    <t>9月</t>
  </si>
  <si>
    <t>10月</t>
  </si>
  <si>
    <t>2025-10-3 出租大会员续费 -9998元 | 2025-10-14 开通出售大会员旗舰版6个月 -4998元</t>
  </si>
  <si>
    <t>11月</t>
  </si>
  <si>
    <t>12月</t>
  </si>
  <si>
    <t>(2.23凌晨pst 求购余额转入20w)</t>
  </si>
  <si>
    <t>日期</t>
  </si>
  <si>
    <t>件数</t>
  </si>
  <si>
    <t>库存</t>
  </si>
  <si>
    <t>总市值</t>
  </si>
  <si>
    <t>武器箱</t>
  </si>
  <si>
    <t>3月</t>
  </si>
  <si>
    <t>/</t>
  </si>
  <si>
    <t>4月</t>
  </si>
  <si>
    <t>5月</t>
  </si>
  <si>
    <t>6月</t>
  </si>
  <si>
    <t>7月</t>
  </si>
  <si>
    <t>收益</t>
  </si>
  <si>
    <t>年化</t>
  </si>
  <si>
    <t>充值</t>
  </si>
  <si>
    <t>租金</t>
  </si>
  <si>
    <t>现金</t>
  </si>
  <si>
    <t>提款金额</t>
  </si>
  <si>
    <t>饰品涨跌</t>
  </si>
  <si>
    <t>实际收益率</t>
  </si>
  <si>
    <t>1月</t>
  </si>
  <si>
    <t>2月</t>
  </si>
  <si>
    <t>9月26日（刷新前待上架）</t>
  </si>
  <si>
    <t>转租</t>
  </si>
  <si>
    <t>上架</t>
  </si>
  <si>
    <t>出租中</t>
  </si>
  <si>
    <t>出租中差值</t>
  </si>
  <si>
    <t>累计转租差值</t>
  </si>
  <si>
    <t>0cd转租效率估算</t>
  </si>
  <si>
    <t>单价</t>
  </si>
  <si>
    <t>数量</t>
  </si>
  <si>
    <t>费用</t>
  </si>
  <si>
    <t>场次</t>
  </si>
  <si>
    <t>总押金</t>
  </si>
  <si>
    <t>总收益/天（不含手续费）</t>
  </si>
  <si>
    <t>保底年化</t>
  </si>
  <si>
    <t>激进年化</t>
  </si>
  <si>
    <t>2024/4/2 (上架租出后）</t>
  </si>
  <si>
    <t>2025/4/3 待上架</t>
  </si>
  <si>
    <t>↑多次改价，集中发货</t>
  </si>
  <si>
    <t>↓1-2次改价，分批发货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</si>
</sst>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&quot;月&quot;d&quot;日&quot;;@"/>
    <numFmt numFmtId="179" formatCode="yyyy&quot;年&quot;m&quot;月&quot;;@"/>
    <numFmt numFmtId="180" formatCode="m&quot;月&quot;d&quot;日&quot;\ h:mm"/>
    <numFmt numFmtId="181" formatCode="yyyy/m/d;@"/>
  </numFmts>
  <fonts count="27">
    <font>
      <sz val="10"/>
      <color theme="1"/>
      <name val="等线"/>
      <charset val="134"/>
      <scheme val="minor"/>
    </font>
    <font>
      <b/>
      <sz val="10"/>
      <color rgb="FFFFFFFF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name val="等线"/>
      <charset val="134"/>
      <scheme val="minor"/>
    </font>
    <font>
      <sz val="10"/>
      <color rgb="FFD8D8D8"/>
      <name val="等线"/>
      <charset val="134"/>
      <scheme val="minor"/>
    </font>
    <font>
      <sz val="10"/>
      <color rgb="FFDE3C36"/>
      <name val="等线"/>
      <charset val="134"/>
      <scheme val="minor"/>
    </font>
    <font>
      <sz val="10"/>
      <color rgb="FFFFFFFF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0D0D0D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1450B8"/>
        <bgColor indexed="64"/>
      </patternFill>
    </fill>
    <fill>
      <patternFill patternType="solid">
        <fgColor rgb="FF99BE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3EAD5"/>
        <bgColor indexed="64"/>
      </patternFill>
    </fill>
    <fill>
      <patternFill patternType="solid">
        <fgColor rgb="FFE5EFFF"/>
        <bgColor indexed="64"/>
      </patternFill>
    </fill>
    <fill>
      <patternFill patternType="solid">
        <fgColor rgb="FFFF9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1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2" borderId="5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18" fillId="13" borderId="5" applyNumberFormat="0" applyAlignment="0" applyProtection="0">
      <alignment vertical="center"/>
    </xf>
    <xf numFmtId="0" fontId="19" fillId="14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</cellStyleXfs>
  <cellXfs count="68">
    <xf numFmtId="0" fontId="0" fillId="0" borderId="0" xfId="0" applyFont="1">
      <alignment vertical="center"/>
    </xf>
    <xf numFmtId="0" fontId="1" fillId="2" borderId="0" xfId="0" applyFont="1" applyFill="1">
      <alignment vertical="center"/>
    </xf>
    <xf numFmtId="178" fontId="2" fillId="0" borderId="0" xfId="0" applyNumberFormat="1" applyFont="1">
      <alignment vertical="center"/>
    </xf>
    <xf numFmtId="10" fontId="0" fillId="3" borderId="0" xfId="0" applyNumberFormat="1" applyFont="1" applyFill="1">
      <alignment vertical="center"/>
    </xf>
    <xf numFmtId="10" fontId="0" fillId="4" borderId="0" xfId="0" applyNumberFormat="1" applyFont="1" applyFill="1">
      <alignment vertical="center"/>
    </xf>
    <xf numFmtId="2" fontId="0" fillId="0" borderId="0" xfId="0" applyNumberFormat="1" applyFont="1">
      <alignment vertical="center"/>
    </xf>
    <xf numFmtId="178" fontId="0" fillId="0" borderId="0" xfId="0" applyNumberFormat="1" applyFont="1">
      <alignment vertical="center"/>
    </xf>
    <xf numFmtId="178" fontId="0" fillId="0" borderId="1" xfId="0" applyNumberFormat="1" applyFont="1" applyBorder="1">
      <alignment vertical="center"/>
    </xf>
    <xf numFmtId="0" fontId="0" fillId="0" borderId="1" xfId="0" applyFont="1" applyBorder="1">
      <alignment vertical="center"/>
    </xf>
    <xf numFmtId="10" fontId="0" fillId="3" borderId="1" xfId="0" applyNumberFormat="1" applyFont="1" applyFill="1" applyBorder="1">
      <alignment vertical="center"/>
    </xf>
    <xf numFmtId="10" fontId="0" fillId="4" borderId="1" xfId="0" applyNumberFormat="1" applyFont="1" applyFill="1" applyBorder="1">
      <alignment vertical="center"/>
    </xf>
    <xf numFmtId="2" fontId="0" fillId="0" borderId="1" xfId="0" applyNumberFormat="1" applyFont="1" applyBorder="1">
      <alignment vertical="center"/>
    </xf>
    <xf numFmtId="22" fontId="2" fillId="0" borderId="0" xfId="0" applyNumberFormat="1" applyFont="1">
      <alignment vertical="center"/>
    </xf>
    <xf numFmtId="22" fontId="0" fillId="0" borderId="0" xfId="0" applyNumberFormat="1" applyFont="1">
      <alignment vertical="center"/>
    </xf>
    <xf numFmtId="22" fontId="3" fillId="0" borderId="0" xfId="0" applyNumberFormat="1" applyFont="1">
      <alignment vertical="center"/>
    </xf>
    <xf numFmtId="178" fontId="3" fillId="0" borderId="0" xfId="0" applyNumberFormat="1" applyFont="1">
      <alignment vertical="center"/>
    </xf>
    <xf numFmtId="0" fontId="1" fillId="2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0" fontId="1" fillId="7" borderId="0" xfId="0" applyNumberFormat="1" applyFont="1" applyFill="1" applyAlignment="1">
      <alignment horizontal="center" vertical="center"/>
    </xf>
    <xf numFmtId="58" fontId="0" fillId="0" borderId="0" xfId="0" applyNumberFormat="1" applyFont="1" applyAlignment="1">
      <alignment horizontal="center" vertical="center"/>
    </xf>
    <xf numFmtId="0" fontId="0" fillId="8" borderId="0" xfId="0" applyFont="1" applyFill="1" applyAlignment="1">
      <alignment horizontal="center" vertical="center"/>
    </xf>
    <xf numFmtId="10" fontId="0" fillId="4" borderId="0" xfId="0" applyNumberFormat="1" applyFont="1" applyFill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0" fontId="0" fillId="9" borderId="0" xfId="0" applyFont="1" applyFill="1">
      <alignment vertical="center"/>
    </xf>
    <xf numFmtId="10" fontId="0" fillId="0" borderId="0" xfId="0" applyNumberFormat="1" applyFont="1">
      <alignment vertical="center"/>
    </xf>
    <xf numFmtId="0" fontId="0" fillId="0" borderId="0" xfId="0" applyFont="1" applyAlignment="1">
      <alignment horizontal="center" vertical="center"/>
    </xf>
    <xf numFmtId="10" fontId="0" fillId="10" borderId="0" xfId="0" applyNumberFormat="1" applyFont="1" applyFill="1">
      <alignment vertical="center"/>
    </xf>
    <xf numFmtId="0" fontId="0" fillId="8" borderId="0" xfId="0" applyFont="1" applyFill="1" applyAlignment="1">
      <alignment horizontal="center" vertical="center" wrapText="1"/>
    </xf>
    <xf numFmtId="178" fontId="0" fillId="0" borderId="0" xfId="0" applyNumberFormat="1" applyFont="1" applyAlignment="1">
      <alignment horizontal="right" vertical="center"/>
    </xf>
    <xf numFmtId="10" fontId="3" fillId="0" borderId="0" xfId="0" applyNumberFormat="1" applyFont="1" applyFill="1">
      <alignment vertical="center"/>
    </xf>
    <xf numFmtId="0" fontId="3" fillId="6" borderId="0" xfId="0" applyFont="1" applyFill="1" applyAlignment="1">
      <alignment horizontal="center" vertical="center"/>
    </xf>
    <xf numFmtId="58" fontId="3" fillId="0" borderId="0" xfId="0" applyNumberFormat="1" applyFont="1" applyAlignment="1">
      <alignment horizontal="center" vertical="center"/>
    </xf>
    <xf numFmtId="10" fontId="0" fillId="0" borderId="0" xfId="0" applyNumberFormat="1" applyFont="1" applyAlignment="1">
      <alignment horizontal="center" vertical="center"/>
    </xf>
    <xf numFmtId="2" fontId="0" fillId="0" borderId="0" xfId="0" applyNumberFormat="1" applyFont="1" applyAlignment="1">
      <alignment horizontal="center" vertical="center" wrapText="1"/>
    </xf>
    <xf numFmtId="58" fontId="3" fillId="0" borderId="0" xfId="0" applyNumberFormat="1" applyFont="1" applyFill="1" applyAlignment="1">
      <alignment horizontal="left"/>
    </xf>
    <xf numFmtId="58" fontId="0" fillId="0" borderId="0" xfId="0" applyNumberFormat="1" applyFont="1">
      <alignment vertical="center"/>
    </xf>
    <xf numFmtId="0" fontId="0" fillId="7" borderId="0" xfId="0" applyFont="1" applyFill="1">
      <alignment vertical="center"/>
    </xf>
    <xf numFmtId="0" fontId="3" fillId="0" borderId="0" xfId="0" applyFont="1">
      <alignment vertical="center"/>
    </xf>
    <xf numFmtId="22" fontId="3" fillId="0" borderId="0" xfId="0" applyNumberFormat="1" applyFont="1" applyAlignment="1">
      <alignment horizontal="center" vertical="center"/>
    </xf>
    <xf numFmtId="10" fontId="0" fillId="3" borderId="0" xfId="0" applyNumberFormat="1" applyFont="1" applyFill="1" applyAlignment="1">
      <alignment horizontal="center" vertical="center"/>
    </xf>
    <xf numFmtId="0" fontId="0" fillId="9" borderId="0" xfId="0" applyFont="1" applyFill="1" applyAlignment="1"/>
    <xf numFmtId="10" fontId="0" fillId="0" borderId="0" xfId="0" applyNumberFormat="1" applyFont="1" applyAlignment="1"/>
    <xf numFmtId="0" fontId="3" fillId="0" borderId="0" xfId="0" applyFont="1" applyAlignment="1">
      <alignment horizontal="center" vertical="center"/>
    </xf>
    <xf numFmtId="179" fontId="0" fillId="0" borderId="0" xfId="0" applyNumberFormat="1" applyFont="1" applyAlignment="1">
      <alignment horizontal="center" vertical="center"/>
    </xf>
    <xf numFmtId="10" fontId="3" fillId="3" borderId="0" xfId="0" applyNumberFormat="1" applyFont="1" applyFill="1" applyAlignment="1"/>
    <xf numFmtId="10" fontId="0" fillId="10" borderId="0" xfId="0" applyNumberFormat="1" applyFont="1" applyFill="1" applyAlignment="1"/>
    <xf numFmtId="10" fontId="0" fillId="3" borderId="0" xfId="0" applyNumberFormat="1" applyFont="1" applyFill="1" applyAlignment="1"/>
    <xf numFmtId="22" fontId="0" fillId="0" borderId="0" xfId="0" applyNumberFormat="1" applyFont="1" applyAlignment="1">
      <alignment horizontal="center" vertical="center"/>
    </xf>
    <xf numFmtId="0" fontId="3" fillId="0" borderId="0" xfId="0" applyFont="1" applyAlignment="1"/>
    <xf numFmtId="0" fontId="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10" fontId="4" fillId="3" borderId="0" xfId="0" applyNumberFormat="1" applyFont="1" applyFill="1" applyAlignment="1"/>
    <xf numFmtId="10" fontId="4" fillId="10" borderId="0" xfId="0" applyNumberFormat="1" applyFont="1" applyFill="1">
      <alignment vertical="center"/>
    </xf>
    <xf numFmtId="180" fontId="0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58" fontId="3" fillId="0" borderId="0" xfId="0" applyNumberFormat="1" applyFont="1">
      <alignment vertical="center"/>
    </xf>
    <xf numFmtId="0" fontId="0" fillId="9" borderId="0" xfId="0" applyFont="1" applyFill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0" fillId="7" borderId="0" xfId="0" applyFont="1" applyFill="1" applyAlignment="1">
      <alignment horizontal="center" vertical="center"/>
    </xf>
    <xf numFmtId="0" fontId="0" fillId="0" borderId="0" xfId="0" applyFont="1" applyAlignment="1">
      <alignment horizontal="right" vertical="center"/>
    </xf>
    <xf numFmtId="10" fontId="0" fillId="3" borderId="0" xfId="0" applyNumberFormat="1" applyFont="1" applyFill="1" applyAlignment="1">
      <alignment horizontal="right" vertical="center"/>
    </xf>
    <xf numFmtId="10" fontId="0" fillId="10" borderId="0" xfId="0" applyNumberFormat="1" applyFont="1" applyFill="1" applyAlignment="1">
      <alignment horizontal="right" vertical="center"/>
    </xf>
    <xf numFmtId="0" fontId="3" fillId="0" borderId="0" xfId="0" applyFont="1" applyAlignment="1">
      <alignment horizontal="right" vertical="center"/>
    </xf>
    <xf numFmtId="181" fontId="0" fillId="0" borderId="0" xfId="0" applyNumberFormat="1" applyFont="1" applyAlignment="1">
      <alignment horizontal="center" vertical="center"/>
    </xf>
    <xf numFmtId="4" fontId="0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KHH">
    <tabColor rgb="FFC7ECFF"/>
  </sheetPr>
  <dimension ref="A1:AA368"/>
  <sheetViews>
    <sheetView tabSelected="1" topLeftCell="L1" workbookViewId="0">
      <selection activeCell="T38" sqref="M35:T38"/>
    </sheetView>
  </sheetViews>
  <sheetFormatPr defaultColWidth="14" defaultRowHeight="18" customHeight="1"/>
  <cols>
    <col min="1" max="1" width="15.5142857142857" style="27" customWidth="1"/>
    <col min="4" max="4" width="20.5047619047619" style="27" customWidth="1"/>
    <col min="12" max="12" width="19.6952380952381" style="27" customWidth="1"/>
    <col min="13" max="13" width="26.0285714285714" style="27" customWidth="1"/>
    <col min="15" max="15" width="27.7809523809524" style="27" customWidth="1"/>
    <col min="23" max="23" width="77.0190476190476" style="27" customWidth="1"/>
  </cols>
  <sheetData>
    <row r="1" ht="12.75" spans="1:2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7" t="s">
        <v>8</v>
      </c>
      <c r="J1" s="17" t="s">
        <v>9</v>
      </c>
      <c r="K1" s="18" t="s">
        <v>10</v>
      </c>
      <c r="L1" s="32"/>
      <c r="M1" s="32"/>
      <c r="N1" s="39" t="s">
        <v>11</v>
      </c>
      <c r="O1" s="16" t="s">
        <v>12</v>
      </c>
      <c r="P1" s="16" t="s">
        <v>13</v>
      </c>
      <c r="Q1" s="16" t="s">
        <v>14</v>
      </c>
      <c r="R1" s="16" t="s">
        <v>15</v>
      </c>
      <c r="S1" s="16" t="s">
        <v>16</v>
      </c>
      <c r="T1" s="16" t="s">
        <v>17</v>
      </c>
      <c r="U1" s="16" t="s">
        <v>18</v>
      </c>
      <c r="V1" s="16" t="s">
        <v>19</v>
      </c>
    </row>
    <row r="2" ht="12.75" spans="1:23">
      <c r="A2" s="40">
        <v>45383.9166666667</v>
      </c>
      <c r="B2" s="27">
        <v>924</v>
      </c>
      <c r="C2" s="27">
        <v>624425.65</v>
      </c>
      <c r="D2" s="22">
        <v>984.77</v>
      </c>
      <c r="E2" s="41">
        <f t="shared" ref="E2:E65" si="0">(D2*0.8)*182.5/C2</f>
        <v>0.230253866092785</v>
      </c>
      <c r="F2" s="23">
        <f t="shared" ref="F2:F65" si="1">(D2*0.8)*267/C2</f>
        <v>0.336864560256293</v>
      </c>
      <c r="G2" s="23">
        <f t="shared" ref="G2:G65" si="2">E2*0.7+F2*0.3</f>
        <v>0.262237074341837</v>
      </c>
      <c r="H2" s="24">
        <f t="shared" ref="H2:H65" si="3">D2/B2</f>
        <v>1.0657683982684</v>
      </c>
      <c r="I2" s="42">
        <v>3275</v>
      </c>
      <c r="J2" s="42">
        <v>1766830.572</v>
      </c>
      <c r="K2" s="43">
        <f>(J2-1737580)/1737580</f>
        <v>0.0168340864881041</v>
      </c>
      <c r="L2" s="39"/>
      <c r="M2" s="39"/>
      <c r="N2" s="44"/>
      <c r="O2" s="45">
        <v>45352</v>
      </c>
      <c r="P2" s="39">
        <v>5544.44</v>
      </c>
      <c r="Q2" s="39">
        <v>30023.92</v>
      </c>
      <c r="R2" s="39">
        <f t="shared" ref="R2:R8" si="4">P2*4</f>
        <v>22177.76</v>
      </c>
      <c r="S2" s="39">
        <f t="shared" ref="S2:S15" si="5">Q2-P2-R2</f>
        <v>2301.72</v>
      </c>
      <c r="T2" s="39">
        <f t="shared" ref="T2:T15" si="6">R2+S2</f>
        <v>24479.48</v>
      </c>
      <c r="U2" s="46">
        <f>(R2*12)/400000</f>
        <v>0.6653328</v>
      </c>
      <c r="V2" s="47">
        <f>((Q2-P2)*12*0.99)/400000</f>
        <v>0.727040556</v>
      </c>
    </row>
    <row r="3" ht="12.75" spans="1:23">
      <c r="A3" s="40">
        <v>45384.0625</v>
      </c>
      <c r="B3" s="27">
        <v>1109</v>
      </c>
      <c r="C3" s="27">
        <v>701773</v>
      </c>
      <c r="D3" s="22">
        <v>1164.3</v>
      </c>
      <c r="E3" s="41">
        <f t="shared" si="0"/>
        <v>0.242226189950312</v>
      </c>
      <c r="F3" s="23">
        <f t="shared" si="1"/>
        <v>0.354380234064291</v>
      </c>
      <c r="G3" s="23">
        <f t="shared" si="2"/>
        <v>0.275872403184506</v>
      </c>
      <c r="H3" s="24">
        <f t="shared" si="3"/>
        <v>1.04986474301172</v>
      </c>
      <c r="I3" s="42">
        <v>3274</v>
      </c>
      <c r="J3" s="42">
        <v>1788127.24</v>
      </c>
      <c r="K3" s="43">
        <f>(J3-1725742.27)/1725742.27</f>
        <v>0.0361496447554709</v>
      </c>
      <c r="L3" s="39"/>
      <c r="M3" s="39"/>
      <c r="N3" s="27"/>
      <c r="O3" s="45">
        <v>45383</v>
      </c>
      <c r="P3" s="39">
        <v>7394.12</v>
      </c>
      <c r="Q3" s="39">
        <v>38760.41</v>
      </c>
      <c r="R3" s="39">
        <f t="shared" si="4"/>
        <v>29576.48</v>
      </c>
      <c r="S3" s="39">
        <f t="shared" si="5"/>
        <v>1789.81</v>
      </c>
      <c r="T3" s="39">
        <f t="shared" si="6"/>
        <v>31366.29</v>
      </c>
      <c r="U3" s="48">
        <f>((R3*12)*0.99)/950000</f>
        <v>0.369861665684211</v>
      </c>
      <c r="V3" s="47">
        <f>((Q3-P3)*12*0.99)/950000</f>
        <v>0.392243710736842</v>
      </c>
    </row>
    <row r="4" ht="12.75" spans="1:23">
      <c r="A4" s="49">
        <v>45385.3638888889</v>
      </c>
      <c r="B4" s="27">
        <v>1146</v>
      </c>
      <c r="C4" s="27">
        <v>738373.95</v>
      </c>
      <c r="D4" s="22">
        <v>1186.78</v>
      </c>
      <c r="E4" s="41">
        <f t="shared" si="0"/>
        <v>0.234664129199033</v>
      </c>
      <c r="F4" s="23">
        <f t="shared" si="1"/>
        <v>0.343316835595297</v>
      </c>
      <c r="G4" s="23">
        <f t="shared" si="2"/>
        <v>0.267259941117912</v>
      </c>
      <c r="H4" s="24">
        <f t="shared" si="3"/>
        <v>1.03558464223386</v>
      </c>
      <c r="I4" s="42">
        <f>652+2822</f>
        <v>3474</v>
      </c>
      <c r="J4" s="42">
        <f>348776.85+1495060.24</f>
        <v>1843837.09</v>
      </c>
      <c r="K4" s="43">
        <f>(J4-1910159.29)/1910159.29</f>
        <v>-0.0347207692820216</v>
      </c>
      <c r="L4" s="39"/>
      <c r="M4" s="39"/>
      <c r="N4" s="27"/>
      <c r="O4" s="45">
        <v>45413</v>
      </c>
      <c r="P4" s="39">
        <v>7331.69</v>
      </c>
      <c r="Q4" s="39">
        <v>39260.05</v>
      </c>
      <c r="R4" s="50">
        <f t="shared" si="4"/>
        <v>29326.76</v>
      </c>
      <c r="S4" s="39">
        <f t="shared" si="5"/>
        <v>2601.60000000001</v>
      </c>
      <c r="T4" s="39">
        <f t="shared" si="6"/>
        <v>31928.36</v>
      </c>
      <c r="U4" s="48">
        <f>(R4*12)/1400000</f>
        <v>0.251372228571429</v>
      </c>
      <c r="V4" s="47">
        <f>((Q4-P4)*12*0.99)/1400000</f>
        <v>0.270934940571429</v>
      </c>
    </row>
    <row r="5" ht="12.75" spans="1:23">
      <c r="A5" s="21">
        <v>45386</v>
      </c>
      <c r="B5" s="27">
        <v>1207</v>
      </c>
      <c r="C5" s="27">
        <v>765408.14</v>
      </c>
      <c r="D5" s="22">
        <v>1235.41</v>
      </c>
      <c r="E5" s="41">
        <f t="shared" si="0"/>
        <v>0.235651870647731</v>
      </c>
      <c r="F5" s="23">
        <f t="shared" si="1"/>
        <v>0.344761914865447</v>
      </c>
      <c r="G5" s="23">
        <f t="shared" si="2"/>
        <v>0.268384883913045</v>
      </c>
      <c r="H5" s="24">
        <f t="shared" si="3"/>
        <v>1.02353769676885</v>
      </c>
      <c r="I5" s="25">
        <v>3481</v>
      </c>
      <c r="J5" s="25">
        <v>1917572.51</v>
      </c>
      <c r="K5" s="26">
        <f>(J5-1952526.24)/1952526.24</f>
        <v>-0.017901797826799</v>
      </c>
      <c r="N5" s="27"/>
      <c r="O5" s="45">
        <v>45444</v>
      </c>
      <c r="P5" s="39">
        <v>8133.13</v>
      </c>
      <c r="Q5" s="39">
        <v>41149.83</v>
      </c>
      <c r="R5" s="50">
        <f t="shared" si="4"/>
        <v>32532.52</v>
      </c>
      <c r="S5" s="39">
        <f t="shared" si="5"/>
        <v>484.180000000004</v>
      </c>
      <c r="T5" s="39">
        <f t="shared" si="6"/>
        <v>33016.7</v>
      </c>
      <c r="U5" s="48">
        <f>(R5*12)/1700000</f>
        <v>0.229641317647059</v>
      </c>
      <c r="V5" s="47">
        <f>((Q5-P5)*12*0.99)/1700000</f>
        <v>0.230728468235294</v>
      </c>
    </row>
    <row r="6" ht="25.5" spans="1:23">
      <c r="A6" s="21">
        <v>45387</v>
      </c>
      <c r="B6" s="27">
        <v>1318</v>
      </c>
      <c r="C6" s="27">
        <v>834117.52</v>
      </c>
      <c r="D6" s="22">
        <v>1338</v>
      </c>
      <c r="E6" s="41">
        <f t="shared" si="0"/>
        <v>0.23419721480014</v>
      </c>
      <c r="F6" s="23">
        <f t="shared" si="1"/>
        <v>0.342633733433629</v>
      </c>
      <c r="G6" s="23">
        <f t="shared" si="2"/>
        <v>0.266728170390187</v>
      </c>
      <c r="H6" s="24">
        <f t="shared" si="3"/>
        <v>1.01517450682853</v>
      </c>
      <c r="I6" s="42">
        <f>767+2737</f>
        <v>3504</v>
      </c>
      <c r="J6" s="42">
        <f>439565.78+1508495.42</f>
        <v>1948061.2</v>
      </c>
      <c r="K6" s="43">
        <f>(J6-1978997.08)/1978997.08</f>
        <v>-0.0156320998715168</v>
      </c>
      <c r="N6" s="27"/>
      <c r="O6" s="45">
        <v>45474</v>
      </c>
      <c r="P6" s="39">
        <v>8777.1</v>
      </c>
      <c r="Q6" s="39">
        <v>44161.46</v>
      </c>
      <c r="R6" s="50">
        <f t="shared" si="4"/>
        <v>35108.4</v>
      </c>
      <c r="S6" s="39">
        <f t="shared" si="5"/>
        <v>275.959999999999</v>
      </c>
      <c r="T6" s="39">
        <f t="shared" si="6"/>
        <v>35384.36</v>
      </c>
      <c r="U6" s="48">
        <f>(R6*12)/1989507.96</f>
        <v>0.2117613040362</v>
      </c>
      <c r="V6" s="28">
        <f>((Q6-P6)*12*0.99)/1989507.96</f>
        <v>0.211291538034359</v>
      </c>
      <c r="W6" s="51" t="s">
        <v>20</v>
      </c>
    </row>
    <row r="7" ht="12.75" spans="1:23">
      <c r="A7" s="21">
        <v>45388</v>
      </c>
      <c r="B7" s="27">
        <v>1414</v>
      </c>
      <c r="C7" s="27">
        <v>913442.73</v>
      </c>
      <c r="D7" s="22">
        <v>1452.62</v>
      </c>
      <c r="E7" s="41">
        <f t="shared" si="0"/>
        <v>0.232179328856227</v>
      </c>
      <c r="F7" s="23">
        <f t="shared" si="1"/>
        <v>0.339681538655412</v>
      </c>
      <c r="G7" s="23">
        <f t="shared" si="2"/>
        <v>0.264429991795983</v>
      </c>
      <c r="H7" s="24">
        <f t="shared" si="3"/>
        <v>1.0273125884017</v>
      </c>
      <c r="I7" s="25">
        <f>727+2760</f>
        <v>3487</v>
      </c>
      <c r="J7" s="25">
        <f>427737.71+1547541.22</f>
        <v>1975278.93</v>
      </c>
      <c r="K7" s="26">
        <f>(J7-1991371.93)/1991371.93</f>
        <v>-0.00808136328405513</v>
      </c>
      <c r="N7" s="27"/>
      <c r="O7" s="45">
        <v>45505</v>
      </c>
      <c r="P7" s="39">
        <v>8705.56</v>
      </c>
      <c r="Q7" s="39">
        <v>44772.3</v>
      </c>
      <c r="R7" s="50">
        <f t="shared" si="4"/>
        <v>34822.24</v>
      </c>
      <c r="S7" s="39">
        <f t="shared" si="5"/>
        <v>1244.50000000001</v>
      </c>
      <c r="T7" s="39">
        <f t="shared" si="6"/>
        <v>36066.74</v>
      </c>
      <c r="U7" s="48">
        <f>(R7*12)/2050000</f>
        <v>0.203837502439024</v>
      </c>
      <c r="V7" s="47">
        <f>((Q7-P7)*12*0.99)/2050000</f>
        <v>0.209011156682927</v>
      </c>
      <c r="W7" s="27" t="s">
        <v>21</v>
      </c>
    </row>
    <row r="8" ht="12.75" spans="1:23">
      <c r="A8" s="33">
        <v>45389</v>
      </c>
      <c r="B8" s="27">
        <v>1436</v>
      </c>
      <c r="C8" s="27">
        <v>947157.43</v>
      </c>
      <c r="D8" s="22">
        <v>1488.16</v>
      </c>
      <c r="E8" s="41">
        <f t="shared" si="0"/>
        <v>0.229393079881134</v>
      </c>
      <c r="F8" s="23">
        <f t="shared" si="1"/>
        <v>0.335605218237057</v>
      </c>
      <c r="G8" s="23">
        <f t="shared" si="2"/>
        <v>0.261256721387911</v>
      </c>
      <c r="H8" s="24">
        <f t="shared" si="3"/>
        <v>1.03632311977716</v>
      </c>
      <c r="I8" s="25">
        <f>668+2750</f>
        <v>3418</v>
      </c>
      <c r="J8" s="25">
        <f>365676.68+1625610.33</f>
        <v>1991287.01</v>
      </c>
      <c r="K8" s="26">
        <f>(J8-1989507.96)/1989507.96</f>
        <v>0.000894216075415977</v>
      </c>
      <c r="N8" s="27"/>
      <c r="O8" s="45">
        <v>45536</v>
      </c>
      <c r="P8" s="39">
        <v>7196.63</v>
      </c>
      <c r="Q8" s="39">
        <v>43032.14</v>
      </c>
      <c r="R8" s="50">
        <f t="shared" si="4"/>
        <v>28786.52</v>
      </c>
      <c r="S8" s="39">
        <f t="shared" si="5"/>
        <v>7048.99</v>
      </c>
      <c r="T8" s="39">
        <f t="shared" si="6"/>
        <v>35835.51</v>
      </c>
      <c r="U8" s="48">
        <f>(R8*12)/2100000</f>
        <v>0.1644944</v>
      </c>
      <c r="V8" s="47">
        <f>((Q8-P8)*12*0.99)/2100000</f>
        <v>0.202726599428571</v>
      </c>
      <c r="W8" s="27" t="s">
        <v>22</v>
      </c>
    </row>
    <row r="9" ht="12.75" spans="1:23">
      <c r="A9" s="33">
        <v>45390</v>
      </c>
      <c r="B9" s="27">
        <v>1618</v>
      </c>
      <c r="C9" s="27">
        <v>1025614.76</v>
      </c>
      <c r="D9" s="22">
        <v>1667.75</v>
      </c>
      <c r="E9" s="41">
        <f t="shared" si="0"/>
        <v>0.237410292340177</v>
      </c>
      <c r="F9" s="23">
        <f t="shared" si="1"/>
        <v>0.347334509889464</v>
      </c>
      <c r="G9" s="23">
        <f t="shared" si="2"/>
        <v>0.270387557604963</v>
      </c>
      <c r="H9" s="24">
        <f t="shared" si="3"/>
        <v>1.0307478368356</v>
      </c>
      <c r="I9" s="25">
        <f>655+2638</f>
        <v>3293</v>
      </c>
      <c r="J9" s="25">
        <f>398740.43+1569127.36</f>
        <v>1967867.79</v>
      </c>
      <c r="K9" s="26">
        <f>(J9-1957754.62)/1957754.62</f>
        <v>0.0051656984469279</v>
      </c>
      <c r="N9" s="27"/>
      <c r="O9" s="45">
        <v>45566</v>
      </c>
      <c r="P9" s="39">
        <v>7270.69</v>
      </c>
      <c r="Q9" s="39">
        <v>74385.82</v>
      </c>
      <c r="R9" s="50">
        <f>P9*9</f>
        <v>65436.21</v>
      </c>
      <c r="S9" s="39">
        <f t="shared" si="5"/>
        <v>1678.92000000001</v>
      </c>
      <c r="T9" s="39">
        <f t="shared" si="6"/>
        <v>67115.13</v>
      </c>
      <c r="U9" s="3">
        <f>(R9*12)/2800000</f>
        <v>0.2804409</v>
      </c>
      <c r="V9" s="28">
        <f>((Q9-P9)*12*0.99)/2800000</f>
        <v>0.284759908714286</v>
      </c>
    </row>
    <row r="10" ht="12.75" spans="1:23">
      <c r="A10" s="33">
        <v>45391</v>
      </c>
      <c r="B10" s="27">
        <v>1661</v>
      </c>
      <c r="C10" s="27">
        <v>1056766.63</v>
      </c>
      <c r="D10" s="22">
        <v>1726.93</v>
      </c>
      <c r="E10" s="41">
        <f t="shared" si="0"/>
        <v>0.23858794632832</v>
      </c>
      <c r="F10" s="23">
        <f t="shared" si="1"/>
        <v>0.349057433806365</v>
      </c>
      <c r="G10" s="23">
        <f t="shared" si="2"/>
        <v>0.271728792571734</v>
      </c>
      <c r="H10" s="24">
        <f t="shared" si="3"/>
        <v>1.03969295605057</v>
      </c>
      <c r="I10" s="25">
        <f>579+2597</f>
        <v>3176</v>
      </c>
      <c r="J10" s="25">
        <f>384074.7+1615972.11</f>
        <v>2000046.81</v>
      </c>
      <c r="K10" s="26">
        <f>(J10-1931459.2)/1931459.2</f>
        <v>0.0355107734090371</v>
      </c>
      <c r="N10" s="27"/>
      <c r="O10" s="45">
        <v>45597</v>
      </c>
      <c r="P10" s="39">
        <v>7928.87</v>
      </c>
      <c r="Q10" s="39">
        <v>86655.94</v>
      </c>
      <c r="R10" s="50">
        <f>P10*9</f>
        <v>71359.83</v>
      </c>
      <c r="S10" s="39">
        <f t="shared" si="5"/>
        <v>7367.24000000001</v>
      </c>
      <c r="T10" s="39">
        <f t="shared" si="6"/>
        <v>78727.07</v>
      </c>
      <c r="U10" s="3">
        <f>(R10*12)/3000000</f>
        <v>0.28543932</v>
      </c>
      <c r="V10" s="28">
        <f>((Q10-P10)*12*0.99)/3000000</f>
        <v>0.3117591972</v>
      </c>
    </row>
    <row r="11" ht="12.75" spans="1:23">
      <c r="A11" s="21">
        <v>45392</v>
      </c>
      <c r="B11" s="27">
        <v>1541</v>
      </c>
      <c r="C11" s="27">
        <v>990128.51</v>
      </c>
      <c r="D11" s="22">
        <v>1597.54</v>
      </c>
      <c r="E11" s="41">
        <f t="shared" si="0"/>
        <v>0.23556622968063</v>
      </c>
      <c r="F11" s="23">
        <f t="shared" si="1"/>
        <v>0.344636620957415</v>
      </c>
      <c r="G11" s="23">
        <f t="shared" si="2"/>
        <v>0.268287347063666</v>
      </c>
      <c r="H11" s="24">
        <f t="shared" si="3"/>
        <v>1.03669046073978</v>
      </c>
      <c r="I11" s="42">
        <f>532+2620</f>
        <v>3152</v>
      </c>
      <c r="J11" s="42">
        <f>319971.04+1696186.19</f>
        <v>2016157.23</v>
      </c>
      <c r="K11" s="26">
        <f>(J11-1927498.79)/1927498.79</f>
        <v>0.0459966255024212</v>
      </c>
      <c r="N11" s="27"/>
      <c r="O11" s="45">
        <v>45627</v>
      </c>
      <c r="P11" s="39">
        <v>8368.7</v>
      </c>
      <c r="Q11" s="39">
        <v>87052.08</v>
      </c>
      <c r="R11" s="50">
        <f>P11*9</f>
        <v>75318.3</v>
      </c>
      <c r="S11" s="39">
        <f t="shared" si="5"/>
        <v>3365.08</v>
      </c>
      <c r="T11" s="39">
        <f t="shared" si="6"/>
        <v>78683.38</v>
      </c>
      <c r="U11" s="3">
        <f>(R11*12)/3000000</f>
        <v>0.3012732</v>
      </c>
      <c r="V11" s="28">
        <f>((Q11-P11)*12*0.99)/3000000</f>
        <v>0.3115861848</v>
      </c>
    </row>
    <row r="12" ht="12.75" spans="1:23">
      <c r="A12" s="21">
        <v>45393</v>
      </c>
      <c r="B12" s="27">
        <v>1569</v>
      </c>
      <c r="C12" s="27">
        <v>994086.92</v>
      </c>
      <c r="D12" s="22">
        <v>1621.54</v>
      </c>
      <c r="E12" s="41">
        <f t="shared" si="0"/>
        <v>0.238153058084699</v>
      </c>
      <c r="F12" s="23">
        <f t="shared" si="1"/>
        <v>0.348421186348574</v>
      </c>
      <c r="G12" s="23">
        <f t="shared" si="2"/>
        <v>0.271233496563862</v>
      </c>
      <c r="H12" s="24">
        <f t="shared" si="3"/>
        <v>1.03348629700446</v>
      </c>
      <c r="I12" s="42">
        <f>655+2625</f>
        <v>3280</v>
      </c>
      <c r="J12" s="42">
        <f>428934.82+1716836.13</f>
        <v>2145770.95</v>
      </c>
      <c r="K12" s="26">
        <f>(J12-2031640.76)/2031640.76</f>
        <v>0.0561763635811282</v>
      </c>
      <c r="L12" s="39"/>
      <c r="M12" s="39"/>
      <c r="N12" s="39"/>
      <c r="O12" s="52" t="s">
        <v>23</v>
      </c>
      <c r="P12" s="53">
        <v>8454.18</v>
      </c>
      <c r="Q12" s="53">
        <v>42534.33</v>
      </c>
      <c r="R12" s="53">
        <f>P12*4</f>
        <v>33816.72</v>
      </c>
      <c r="S12" s="53">
        <f t="shared" si="5"/>
        <v>263.43</v>
      </c>
      <c r="T12" s="39">
        <f t="shared" si="6"/>
        <v>34080.15</v>
      </c>
      <c r="U12" s="54">
        <f>(R12*12)/1200000</f>
        <v>0.3381672</v>
      </c>
      <c r="V12" s="55">
        <f>((Q12-P12)*12*0.99)/1989507.96</f>
        <v>0.203503675350965</v>
      </c>
    </row>
    <row r="13" ht="12.75" spans="1:23">
      <c r="A13" s="21">
        <v>45394</v>
      </c>
      <c r="B13" s="27">
        <v>1409</v>
      </c>
      <c r="C13" s="27">
        <v>908834.25</v>
      </c>
      <c r="D13" s="22">
        <v>1481.03</v>
      </c>
      <c r="E13" s="41">
        <f t="shared" si="0"/>
        <v>0.23792058893027</v>
      </c>
      <c r="F13" s="23">
        <f t="shared" si="1"/>
        <v>0.348081080791134</v>
      </c>
      <c r="G13" s="23">
        <f t="shared" si="2"/>
        <v>0.270968736488529</v>
      </c>
      <c r="H13" s="24">
        <f t="shared" si="3"/>
        <v>1.05112136266856</v>
      </c>
      <c r="I13" s="42">
        <f>711+2636</f>
        <v>3347</v>
      </c>
      <c r="J13" s="42">
        <f>493256.47+1773570.57</f>
        <v>2266827.04</v>
      </c>
      <c r="K13" s="26">
        <f>(J13-2096755.39)/2096755.39</f>
        <v>0.0811118220137258</v>
      </c>
      <c r="L13" s="39"/>
      <c r="M13" s="39"/>
      <c r="N13" s="39"/>
      <c r="O13" s="45">
        <v>45658</v>
      </c>
      <c r="P13" s="39">
        <v>7994.13</v>
      </c>
      <c r="Q13" s="39">
        <v>87198.61</v>
      </c>
      <c r="R13" s="39">
        <f>P13*9</f>
        <v>71947.17</v>
      </c>
      <c r="S13" s="39">
        <f t="shared" si="5"/>
        <v>7257.31</v>
      </c>
      <c r="T13" s="39">
        <f t="shared" si="6"/>
        <v>79204.48</v>
      </c>
      <c r="U13" s="48">
        <f t="shared" ref="U13:U18" si="7">(R13*12)/3000000</f>
        <v>0.28778868</v>
      </c>
      <c r="V13" s="28">
        <f t="shared" ref="V13:V18" si="8">((Q13-P13)*12*0.99)/3000000</f>
        <v>0.3136497408</v>
      </c>
      <c r="W13" s="56"/>
    </row>
    <row r="14" ht="12.75" spans="1:23">
      <c r="A14" s="21">
        <v>45395</v>
      </c>
      <c r="B14" s="27">
        <v>1302</v>
      </c>
      <c r="C14" s="27">
        <v>847427.39</v>
      </c>
      <c r="D14" s="22">
        <v>1380.44</v>
      </c>
      <c r="E14" s="41">
        <f t="shared" si="0"/>
        <v>0.237830688951416</v>
      </c>
      <c r="F14" s="23">
        <f t="shared" si="1"/>
        <v>0.347949555890564</v>
      </c>
      <c r="G14" s="23">
        <f t="shared" si="2"/>
        <v>0.27086634903316</v>
      </c>
      <c r="H14" s="24">
        <f t="shared" si="3"/>
        <v>1.06024577572965</v>
      </c>
      <c r="I14" s="42">
        <f>815+3188</f>
        <v>4003</v>
      </c>
      <c r="J14" s="42">
        <f>611994.73+2188311.52</f>
        <v>2800306.25</v>
      </c>
      <c r="K14" s="26">
        <f>(J14-2645748.59)/2645748.59</f>
        <v>0.0584173645916977</v>
      </c>
      <c r="L14" s="39"/>
      <c r="M14" s="39"/>
      <c r="N14" s="39"/>
      <c r="O14" s="45">
        <v>45689</v>
      </c>
      <c r="P14" s="39">
        <v>5877.55</v>
      </c>
      <c r="Q14" s="39">
        <v>63366.27</v>
      </c>
      <c r="R14" s="39">
        <f>P14*9</f>
        <v>52897.95</v>
      </c>
      <c r="S14" s="39">
        <f t="shared" si="5"/>
        <v>4590.76999999999</v>
      </c>
      <c r="T14" s="39">
        <f t="shared" si="6"/>
        <v>57488.72</v>
      </c>
      <c r="U14" s="48">
        <f t="shared" si="7"/>
        <v>0.2115918</v>
      </c>
      <c r="V14" s="28">
        <f t="shared" si="8"/>
        <v>0.2276553312</v>
      </c>
      <c r="W14" s="57" t="s">
        <v>24</v>
      </c>
    </row>
    <row r="15" ht="12.75" spans="1:23">
      <c r="A15" s="21">
        <v>45396</v>
      </c>
      <c r="B15" s="27">
        <v>1251</v>
      </c>
      <c r="C15" s="27">
        <v>809301.57</v>
      </c>
      <c r="D15" s="22">
        <v>1328.11</v>
      </c>
      <c r="E15" s="41">
        <f t="shared" si="0"/>
        <v>0.239594320816652</v>
      </c>
      <c r="F15" s="23">
        <f t="shared" si="1"/>
        <v>0.350529773468745</v>
      </c>
      <c r="G15" s="23">
        <f t="shared" si="2"/>
        <v>0.27287495661228</v>
      </c>
      <c r="H15" s="24">
        <f t="shared" si="3"/>
        <v>1.06163868904876</v>
      </c>
      <c r="I15" s="42">
        <f>601+3514</f>
        <v>4115</v>
      </c>
      <c r="J15" s="42">
        <f>504122.81+2468021.4</f>
        <v>2972144.21</v>
      </c>
      <c r="K15" s="26">
        <f>(J15-2800000)/2800000</f>
        <v>0.061480075</v>
      </c>
      <c r="L15" s="39">
        <v>10.6</v>
      </c>
      <c r="M15" s="39"/>
      <c r="N15" s="39"/>
      <c r="O15" s="45">
        <v>45717</v>
      </c>
      <c r="P15" s="39">
        <v>72.46</v>
      </c>
      <c r="Q15" s="39">
        <v>728.1</v>
      </c>
      <c r="R15" s="39">
        <f>P15*9</f>
        <v>652.14</v>
      </c>
      <c r="S15" s="39">
        <f t="shared" si="5"/>
        <v>3.5</v>
      </c>
      <c r="T15" s="39">
        <f t="shared" si="6"/>
        <v>655.64</v>
      </c>
      <c r="U15" s="48">
        <f t="shared" si="7"/>
        <v>0.00260856</v>
      </c>
      <c r="V15" s="28">
        <f t="shared" si="8"/>
        <v>0.0025963344</v>
      </c>
    </row>
    <row r="16" ht="12.75" spans="1:23">
      <c r="A16" s="21">
        <v>45397</v>
      </c>
      <c r="B16" s="27">
        <v>1176</v>
      </c>
      <c r="C16" s="27">
        <v>733514.94</v>
      </c>
      <c r="D16" s="22">
        <v>1229.86</v>
      </c>
      <c r="E16" s="41">
        <f t="shared" si="0"/>
        <v>0.244793323500677</v>
      </c>
      <c r="F16" s="23">
        <f t="shared" si="1"/>
        <v>0.35813598561469</v>
      </c>
      <c r="G16" s="23">
        <f t="shared" si="2"/>
        <v>0.278796122134881</v>
      </c>
      <c r="H16" s="24">
        <f t="shared" si="3"/>
        <v>1.04579931972789</v>
      </c>
      <c r="I16" s="42">
        <f>529+3593</f>
        <v>4122</v>
      </c>
      <c r="J16" s="42">
        <f>354801.1+2580754.63</f>
        <v>2935555.73</v>
      </c>
      <c r="K16" s="26">
        <f>(J16-2814023.59)/2814023.59</f>
        <v>0.0431880316966355</v>
      </c>
      <c r="L16" s="39">
        <v>10.12</v>
      </c>
      <c r="M16" s="39"/>
      <c r="N16" s="39"/>
      <c r="O16" s="45">
        <v>45748</v>
      </c>
      <c r="P16" s="39"/>
      <c r="Q16" s="39"/>
      <c r="R16" s="39"/>
      <c r="S16" s="39"/>
      <c r="T16" s="39"/>
      <c r="U16" s="48">
        <f t="shared" si="7"/>
        <v>0</v>
      </c>
      <c r="V16" s="28">
        <f t="shared" si="8"/>
        <v>0</v>
      </c>
    </row>
    <row r="17" ht="12.75" spans="1:22">
      <c r="A17" s="21">
        <v>45398</v>
      </c>
      <c r="B17" s="27">
        <v>990</v>
      </c>
      <c r="C17" s="27">
        <v>642102.35</v>
      </c>
      <c r="D17" s="22">
        <v>1034.85</v>
      </c>
      <c r="E17" s="41">
        <f t="shared" si="0"/>
        <v>0.235302206883373</v>
      </c>
      <c r="F17" s="23">
        <f t="shared" si="1"/>
        <v>0.344250351988277</v>
      </c>
      <c r="G17" s="23">
        <f t="shared" si="2"/>
        <v>0.267986650414844</v>
      </c>
      <c r="H17" s="24">
        <f t="shared" si="3"/>
        <v>1.04530303030303</v>
      </c>
      <c r="I17" s="42">
        <f>758+3560</f>
        <v>4318</v>
      </c>
      <c r="J17" s="42">
        <f>568419.11+2592456.15</f>
        <v>3160875.26</v>
      </c>
      <c r="K17" s="26">
        <f t="shared" ref="K17:K62" si="9">(J17-3000000)/3000000</f>
        <v>0.0536250866666666</v>
      </c>
      <c r="L17" s="39"/>
      <c r="M17" s="39"/>
      <c r="N17" s="39"/>
      <c r="O17" s="45">
        <v>45778</v>
      </c>
      <c r="P17" s="39"/>
      <c r="Q17" s="39"/>
      <c r="R17" s="39">
        <f>P17*9</f>
        <v>0</v>
      </c>
      <c r="S17" s="39">
        <f>Q17-P17-R17</f>
        <v>0</v>
      </c>
      <c r="T17" s="39">
        <f>R17+S17</f>
        <v>0</v>
      </c>
      <c r="U17" s="48">
        <f t="shared" si="7"/>
        <v>0</v>
      </c>
      <c r="V17" s="28">
        <f t="shared" si="8"/>
        <v>0</v>
      </c>
    </row>
    <row r="18" ht="12.75" spans="1:22">
      <c r="A18" s="21">
        <v>45399</v>
      </c>
      <c r="B18" s="27">
        <v>1006</v>
      </c>
      <c r="C18" s="27">
        <v>656391.85</v>
      </c>
      <c r="D18" s="22">
        <v>1030.46</v>
      </c>
      <c r="E18" s="41">
        <f t="shared" si="0"/>
        <v>0.229203272405043</v>
      </c>
      <c r="F18" s="23">
        <f t="shared" si="1"/>
        <v>0.335327527299433</v>
      </c>
      <c r="G18" s="23">
        <f t="shared" si="2"/>
        <v>0.26104054887336</v>
      </c>
      <c r="H18" s="24">
        <f t="shared" si="3"/>
        <v>1.02431411530815</v>
      </c>
      <c r="I18" s="42">
        <f>747+3573</f>
        <v>4320</v>
      </c>
      <c r="J18" s="42">
        <f>551369.6+2660323.03</f>
        <v>3211692.63</v>
      </c>
      <c r="K18" s="26">
        <f t="shared" si="9"/>
        <v>0.07056421</v>
      </c>
      <c r="L18" s="39"/>
      <c r="M18" s="39"/>
      <c r="N18" s="39"/>
      <c r="O18" s="45">
        <v>45809</v>
      </c>
      <c r="P18" s="39"/>
      <c r="Q18" s="39"/>
      <c r="R18" s="39">
        <f>P18*9</f>
        <v>0</v>
      </c>
      <c r="S18" s="39">
        <f>Q18-P18-R18</f>
        <v>0</v>
      </c>
      <c r="T18" s="39">
        <f>R18+S18</f>
        <v>0</v>
      </c>
      <c r="U18" s="48">
        <f t="shared" si="7"/>
        <v>0</v>
      </c>
      <c r="V18" s="28">
        <f t="shared" si="8"/>
        <v>0</v>
      </c>
    </row>
    <row r="19" ht="12.75" spans="1:22">
      <c r="A19" s="21">
        <v>45400</v>
      </c>
      <c r="B19" s="27">
        <v>1117</v>
      </c>
      <c r="C19" s="27">
        <v>720300.35</v>
      </c>
      <c r="D19" s="22">
        <v>1109.05</v>
      </c>
      <c r="E19" s="41">
        <f t="shared" si="0"/>
        <v>0.22479691978492</v>
      </c>
      <c r="F19" s="23">
        <f t="shared" si="1"/>
        <v>0.328880973055198</v>
      </c>
      <c r="G19" s="23">
        <f t="shared" si="2"/>
        <v>0.256022135766004</v>
      </c>
      <c r="H19" s="24">
        <f t="shared" si="3"/>
        <v>0.992882721575649</v>
      </c>
      <c r="I19" s="42">
        <f>733+3585</f>
        <v>4318</v>
      </c>
      <c r="J19" s="42">
        <f>545843.98+2658863.01</f>
        <v>3204706.99</v>
      </c>
      <c r="K19" s="26">
        <f t="shared" si="9"/>
        <v>0.0682356633333333</v>
      </c>
      <c r="L19" s="39"/>
      <c r="M19" s="39"/>
      <c r="N19" s="39"/>
      <c r="O19" s="45"/>
      <c r="P19" s="39"/>
      <c r="Q19" s="39"/>
      <c r="R19" s="39"/>
      <c r="S19" s="39"/>
      <c r="T19" s="39"/>
      <c r="U19" s="48"/>
      <c r="V19" s="28"/>
    </row>
    <row r="20" ht="12.75" spans="1:22">
      <c r="A20" s="21">
        <v>45401</v>
      </c>
      <c r="B20" s="27">
        <v>1201</v>
      </c>
      <c r="C20" s="27">
        <v>748699.57</v>
      </c>
      <c r="D20" s="22">
        <v>1156.84</v>
      </c>
      <c r="E20" s="41">
        <f t="shared" si="0"/>
        <v>0.225589337522927</v>
      </c>
      <c r="F20" s="23">
        <f t="shared" si="1"/>
        <v>0.330040291060939</v>
      </c>
      <c r="G20" s="23">
        <f t="shared" si="2"/>
        <v>0.25692462358433</v>
      </c>
      <c r="H20" s="24">
        <f t="shared" si="3"/>
        <v>0.96323064113239</v>
      </c>
      <c r="I20" s="42">
        <f>518+3800</f>
        <v>4318</v>
      </c>
      <c r="J20" s="42">
        <f>378904.82+2801901.27</f>
        <v>3180806.09</v>
      </c>
      <c r="K20" s="26">
        <f t="shared" si="9"/>
        <v>0.0602686966666666</v>
      </c>
      <c r="L20" s="39">
        <v>10.25</v>
      </c>
      <c r="M20" s="39"/>
      <c r="N20" s="39"/>
      <c r="O20" s="45"/>
      <c r="P20" s="39"/>
      <c r="Q20" s="39"/>
      <c r="R20" s="39"/>
      <c r="S20" s="39"/>
      <c r="T20" s="39"/>
      <c r="U20" s="48"/>
      <c r="V20" s="28"/>
    </row>
    <row r="21" ht="12.75" spans="1:22">
      <c r="A21" s="21">
        <v>45402</v>
      </c>
      <c r="B21" s="27">
        <v>1224</v>
      </c>
      <c r="C21" s="27">
        <v>776226.63</v>
      </c>
      <c r="D21" s="22">
        <v>1179.07</v>
      </c>
      <c r="E21" s="41">
        <f t="shared" si="0"/>
        <v>0.221770567186029</v>
      </c>
      <c r="F21" s="23">
        <f t="shared" si="1"/>
        <v>0.324453377746136</v>
      </c>
      <c r="G21" s="23">
        <f t="shared" si="2"/>
        <v>0.252575410354061</v>
      </c>
      <c r="H21" s="24">
        <f t="shared" si="3"/>
        <v>0.963292483660131</v>
      </c>
      <c r="I21" s="42">
        <f>475+3838</f>
        <v>4313</v>
      </c>
      <c r="J21" s="42">
        <f>340845.18+2854647.18</f>
        <v>3195492.36</v>
      </c>
      <c r="K21" s="26">
        <f t="shared" si="9"/>
        <v>0.0651641200000001</v>
      </c>
      <c r="L21" s="39">
        <v>10.27</v>
      </c>
      <c r="M21" s="39"/>
      <c r="N21" s="39"/>
      <c r="O21" s="45"/>
      <c r="R21" s="39"/>
      <c r="S21" s="39"/>
      <c r="T21" s="39"/>
      <c r="U21" s="48"/>
      <c r="V21" s="28"/>
    </row>
    <row r="22" ht="12.75" spans="1:22">
      <c r="A22" s="21">
        <v>45403</v>
      </c>
      <c r="B22" s="27">
        <v>1376</v>
      </c>
      <c r="C22" s="27">
        <v>862098.85</v>
      </c>
      <c r="D22" s="22">
        <v>1299.09</v>
      </c>
      <c r="E22" s="41">
        <f t="shared" si="0"/>
        <v>0.220006255663141</v>
      </c>
      <c r="F22" s="23">
        <f t="shared" si="1"/>
        <v>0.3218721658195</v>
      </c>
      <c r="G22" s="23">
        <f t="shared" si="2"/>
        <v>0.250566028710049</v>
      </c>
      <c r="H22" s="24">
        <f t="shared" si="3"/>
        <v>0.944106104651163</v>
      </c>
      <c r="I22" s="25">
        <f>340+3975</f>
        <v>4315</v>
      </c>
      <c r="J22" s="25">
        <f>251079.66+3018601.59</f>
        <v>3269681.25</v>
      </c>
      <c r="K22" s="26">
        <f t="shared" si="9"/>
        <v>0.08989375</v>
      </c>
      <c r="L22" s="39">
        <v>10.31</v>
      </c>
      <c r="M22" s="39"/>
      <c r="N22" s="39"/>
      <c r="O22" s="45"/>
      <c r="R22" s="39"/>
      <c r="S22" s="39"/>
      <c r="T22" s="39"/>
      <c r="U22" s="48"/>
      <c r="V22" s="28"/>
    </row>
    <row r="23" ht="12.75" spans="1:22">
      <c r="A23" s="21">
        <v>45404</v>
      </c>
      <c r="B23" s="27">
        <v>1424</v>
      </c>
      <c r="C23" s="27">
        <v>908588</v>
      </c>
      <c r="D23" s="22">
        <v>1358.67</v>
      </c>
      <c r="E23" s="41">
        <f t="shared" si="0"/>
        <v>0.218323178382281</v>
      </c>
      <c r="F23" s="23">
        <f t="shared" si="1"/>
        <v>0.319409800701748</v>
      </c>
      <c r="G23" s="23">
        <f t="shared" si="2"/>
        <v>0.248649165078121</v>
      </c>
      <c r="H23" s="24">
        <f t="shared" si="3"/>
        <v>0.954122191011236</v>
      </c>
      <c r="I23" s="42">
        <f>359+3955</f>
        <v>4314</v>
      </c>
      <c r="J23" s="42">
        <f>261844.64+3056722.13</f>
        <v>3318566.77</v>
      </c>
      <c r="K23" s="26">
        <f t="shared" si="9"/>
        <v>0.106188923333333</v>
      </c>
      <c r="L23" s="39">
        <v>11.1</v>
      </c>
      <c r="M23" s="39"/>
      <c r="N23" s="39"/>
      <c r="O23" s="45"/>
      <c r="R23" s="39"/>
      <c r="S23" s="39"/>
      <c r="T23" s="39"/>
      <c r="U23" s="48"/>
      <c r="V23" s="28"/>
    </row>
    <row r="24" ht="12.75" spans="1:22">
      <c r="A24" s="21">
        <v>45405</v>
      </c>
      <c r="B24" s="27">
        <v>1574</v>
      </c>
      <c r="C24" s="27">
        <v>976469.72</v>
      </c>
      <c r="D24" s="22">
        <v>1485.06</v>
      </c>
      <c r="E24" s="41">
        <f t="shared" si="0"/>
        <v>0.22204350586519</v>
      </c>
      <c r="F24" s="23">
        <f t="shared" si="1"/>
        <v>0.324852690772633</v>
      </c>
      <c r="G24" s="23">
        <f t="shared" si="2"/>
        <v>0.252886261337423</v>
      </c>
      <c r="H24" s="24">
        <f t="shared" si="3"/>
        <v>0.943494282083863</v>
      </c>
      <c r="I24" s="42">
        <f>315+3998</f>
        <v>4313</v>
      </c>
      <c r="J24" s="42">
        <f>219538.84+3049195.85</f>
        <v>3268734.69</v>
      </c>
      <c r="K24" s="26">
        <f t="shared" si="9"/>
        <v>0.08957823</v>
      </c>
      <c r="L24" s="39">
        <v>11.4</v>
      </c>
      <c r="M24" s="39"/>
      <c r="N24" s="39"/>
      <c r="O24" s="45"/>
      <c r="R24" s="39"/>
      <c r="S24" s="39"/>
      <c r="T24" s="39"/>
      <c r="U24" s="48"/>
      <c r="V24" s="28"/>
    </row>
    <row r="25" ht="12.75" spans="1:22">
      <c r="A25" s="21">
        <v>45406</v>
      </c>
      <c r="B25" s="27">
        <v>1657</v>
      </c>
      <c r="C25" s="27">
        <v>1017845.64</v>
      </c>
      <c r="D25" s="22">
        <v>1556.85</v>
      </c>
      <c r="E25" s="41">
        <f t="shared" si="0"/>
        <v>0.223314902640837</v>
      </c>
      <c r="F25" s="23">
        <f t="shared" si="1"/>
        <v>0.326712761671799</v>
      </c>
      <c r="G25" s="23">
        <f t="shared" si="2"/>
        <v>0.254334260350125</v>
      </c>
      <c r="H25" s="24">
        <f t="shared" si="3"/>
        <v>0.939559444779722</v>
      </c>
      <c r="I25" s="42">
        <f>340+3972</f>
        <v>4312</v>
      </c>
      <c r="J25" s="42">
        <f>245371.27+3001636.01</f>
        <v>3247007.28</v>
      </c>
      <c r="K25" s="26">
        <f t="shared" si="9"/>
        <v>0.0823357599999999</v>
      </c>
      <c r="L25" s="39">
        <v>11.7</v>
      </c>
      <c r="M25" s="39"/>
      <c r="N25" s="39"/>
    </row>
    <row r="26" ht="12.75" spans="1:22">
      <c r="A26" s="21">
        <v>45407</v>
      </c>
      <c r="B26" s="27">
        <v>1511</v>
      </c>
      <c r="C26" s="27">
        <v>962143.66</v>
      </c>
      <c r="D26" s="22">
        <v>1448.17</v>
      </c>
      <c r="E26" s="41">
        <f t="shared" si="0"/>
        <v>0.219751819598333</v>
      </c>
      <c r="F26" s="23">
        <f t="shared" si="1"/>
        <v>0.32149992237126</v>
      </c>
      <c r="G26" s="23">
        <f t="shared" si="2"/>
        <v>0.250276250430211</v>
      </c>
      <c r="H26" s="24">
        <f t="shared" si="3"/>
        <v>0.958418266048974</v>
      </c>
      <c r="I26" s="42">
        <f>300+4010</f>
        <v>4310</v>
      </c>
      <c r="J26" s="42">
        <f>219085.32+3073387.03</f>
        <v>3292472.35</v>
      </c>
      <c r="K26" s="26">
        <f t="shared" si="9"/>
        <v>0.0974907833333332</v>
      </c>
      <c r="L26" s="39">
        <v>11.18</v>
      </c>
      <c r="M26" s="39"/>
      <c r="N26" s="39"/>
    </row>
    <row r="27" ht="12.75" spans="1:22">
      <c r="A27" s="21">
        <v>45408</v>
      </c>
      <c r="B27" s="27">
        <v>1529</v>
      </c>
      <c r="C27" s="27">
        <v>981743.39</v>
      </c>
      <c r="D27" s="22">
        <v>1467.74</v>
      </c>
      <c r="E27" s="41">
        <f t="shared" si="0"/>
        <v>0.218275001576532</v>
      </c>
      <c r="F27" s="23">
        <f t="shared" si="1"/>
        <v>0.319339317374981</v>
      </c>
      <c r="G27" s="23">
        <f t="shared" si="2"/>
        <v>0.248594296316067</v>
      </c>
      <c r="H27" s="24">
        <f t="shared" si="3"/>
        <v>0.959934597776324</v>
      </c>
      <c r="I27" s="42">
        <f>289+4020</f>
        <v>4309</v>
      </c>
      <c r="J27" s="42">
        <f>206801.98+3082615.04</f>
        <v>3289417.02</v>
      </c>
      <c r="K27" s="26">
        <f t="shared" si="9"/>
        <v>0.09647234</v>
      </c>
      <c r="L27" s="39">
        <v>11.19</v>
      </c>
      <c r="M27" s="39"/>
      <c r="N27" s="39"/>
    </row>
    <row r="28" ht="12.75" spans="1:22">
      <c r="A28" s="21">
        <v>45409</v>
      </c>
      <c r="B28" s="27">
        <v>1422</v>
      </c>
      <c r="C28" s="27">
        <v>920276.11</v>
      </c>
      <c r="D28" s="22">
        <v>1363.49</v>
      </c>
      <c r="E28" s="41">
        <f t="shared" si="0"/>
        <v>0.216315014414533</v>
      </c>
      <c r="F28" s="23">
        <f t="shared" si="1"/>
        <v>0.316471829307837</v>
      </c>
      <c r="G28" s="23">
        <f t="shared" si="2"/>
        <v>0.246362058882524</v>
      </c>
      <c r="H28" s="24">
        <f t="shared" si="3"/>
        <v>0.958853727144866</v>
      </c>
      <c r="I28" s="25">
        <f>321+3986</f>
        <v>4307</v>
      </c>
      <c r="J28" s="25">
        <f>236132.17+3119183.44</f>
        <v>3355315.61</v>
      </c>
      <c r="K28" s="26">
        <f t="shared" si="9"/>
        <v>0.118438536666667</v>
      </c>
      <c r="L28" s="39">
        <v>11.22</v>
      </c>
      <c r="M28" s="39"/>
      <c r="N28" s="39"/>
    </row>
    <row r="29" ht="12.75" spans="1:22">
      <c r="A29" s="21">
        <v>45410</v>
      </c>
      <c r="B29" s="27">
        <v>1345</v>
      </c>
      <c r="C29" s="27">
        <v>886084.41</v>
      </c>
      <c r="D29" s="22">
        <v>1305.07</v>
      </c>
      <c r="E29" s="41">
        <f t="shared" si="0"/>
        <v>0.215036195027966</v>
      </c>
      <c r="F29" s="23">
        <f t="shared" si="1"/>
        <v>0.314600899027216</v>
      </c>
      <c r="G29" s="23">
        <f t="shared" si="2"/>
        <v>0.244905606227741</v>
      </c>
      <c r="H29" s="24">
        <f t="shared" si="3"/>
        <v>0.970312267657992</v>
      </c>
      <c r="I29" s="42">
        <f>342+3964</f>
        <v>4306</v>
      </c>
      <c r="J29" s="42">
        <f>250732.31+3049574.53</f>
        <v>3300306.84</v>
      </c>
      <c r="K29" s="26">
        <f t="shared" si="9"/>
        <v>0.10010228</v>
      </c>
      <c r="L29" s="39">
        <v>11.27</v>
      </c>
      <c r="M29" s="39"/>
      <c r="N29" s="39"/>
    </row>
    <row r="30" ht="12.75" spans="1:22">
      <c r="A30" s="21">
        <v>45413</v>
      </c>
      <c r="B30" s="27">
        <v>1140</v>
      </c>
      <c r="C30" s="27">
        <v>752448.95</v>
      </c>
      <c r="D30" s="22">
        <v>1080.54</v>
      </c>
      <c r="E30" s="41">
        <f t="shared" si="0"/>
        <v>0.209660522484615</v>
      </c>
      <c r="F30" s="23">
        <f t="shared" si="1"/>
        <v>0.306736216456944</v>
      </c>
      <c r="G30" s="23">
        <f t="shared" si="2"/>
        <v>0.238783230676314</v>
      </c>
      <c r="H30" s="24">
        <f t="shared" si="3"/>
        <v>0.947842105263158</v>
      </c>
      <c r="I30" s="42">
        <f>360+3946</f>
        <v>4306</v>
      </c>
      <c r="J30" s="42">
        <f>261107.47+3040054.26</f>
        <v>3301161.73</v>
      </c>
      <c r="K30" s="26">
        <f t="shared" si="9"/>
        <v>0.100387243333333</v>
      </c>
      <c r="L30" s="39">
        <v>11.29</v>
      </c>
      <c r="M30" s="39"/>
      <c r="N30" s="39"/>
    </row>
    <row r="31" ht="12.75" spans="1:22">
      <c r="A31" s="21">
        <v>45416</v>
      </c>
      <c r="B31" s="27">
        <v>1241</v>
      </c>
      <c r="C31" s="27">
        <v>796231.9</v>
      </c>
      <c r="D31" s="22">
        <v>1138.9</v>
      </c>
      <c r="E31" s="41">
        <f t="shared" si="0"/>
        <v>0.20883287896403</v>
      </c>
      <c r="F31" s="23">
        <f t="shared" si="1"/>
        <v>0.305525362648746</v>
      </c>
      <c r="G31" s="23">
        <f t="shared" si="2"/>
        <v>0.237840624069445</v>
      </c>
      <c r="H31" s="24">
        <f t="shared" si="3"/>
        <v>0.917727639000806</v>
      </c>
      <c r="I31" s="42">
        <f>393+3912</f>
        <v>4305</v>
      </c>
      <c r="J31" s="42">
        <f>284437.07+3026104.5</f>
        <v>3310541.57</v>
      </c>
      <c r="K31" s="26">
        <f t="shared" si="9"/>
        <v>0.103513856666667</v>
      </c>
      <c r="L31" s="39">
        <v>12.4</v>
      </c>
      <c r="M31" s="39"/>
      <c r="N31" s="39"/>
    </row>
    <row r="32" ht="12.75" spans="1:22">
      <c r="A32" s="21">
        <v>45417</v>
      </c>
      <c r="B32" s="27">
        <v>1229</v>
      </c>
      <c r="C32" s="27">
        <v>794414.76</v>
      </c>
      <c r="D32" s="22">
        <v>1122.16</v>
      </c>
      <c r="E32" s="41">
        <f t="shared" si="0"/>
        <v>0.206234033214589</v>
      </c>
      <c r="F32" s="23">
        <f t="shared" si="1"/>
        <v>0.301723215716687</v>
      </c>
      <c r="G32" s="23">
        <f t="shared" si="2"/>
        <v>0.234880787965219</v>
      </c>
      <c r="H32" s="24">
        <f t="shared" si="3"/>
        <v>0.91306753458096</v>
      </c>
      <c r="I32" s="25">
        <f>449+3855</f>
        <v>4304</v>
      </c>
      <c r="J32" s="25">
        <f>315078.73+2936080</f>
        <v>3251158.73</v>
      </c>
      <c r="K32" s="26">
        <f t="shared" si="9"/>
        <v>0.0837195766666667</v>
      </c>
      <c r="L32" s="39">
        <v>12.9</v>
      </c>
      <c r="M32" s="39"/>
      <c r="N32" s="39"/>
    </row>
    <row r="33" ht="12.75" spans="1:14">
      <c r="A33" s="21">
        <v>45418</v>
      </c>
      <c r="B33" s="27">
        <v>1240</v>
      </c>
      <c r="C33" s="27">
        <v>804132.95</v>
      </c>
      <c r="D33" s="22">
        <v>1123.95</v>
      </c>
      <c r="E33" s="41">
        <f t="shared" si="0"/>
        <v>0.204066628534498</v>
      </c>
      <c r="F33" s="23">
        <f t="shared" si="1"/>
        <v>0.298552272979238</v>
      </c>
      <c r="G33" s="23">
        <f t="shared" si="2"/>
        <v>0.23241232186792</v>
      </c>
      <c r="H33" s="24">
        <f t="shared" si="3"/>
        <v>0.906411290322581</v>
      </c>
      <c r="I33" s="42">
        <f>453+3851</f>
        <v>4304</v>
      </c>
      <c r="J33" s="42">
        <f>317908.74+2930440.72</f>
        <v>3248349.46</v>
      </c>
      <c r="K33" s="26">
        <f t="shared" si="9"/>
        <v>0.0827831533333333</v>
      </c>
      <c r="L33" s="39">
        <v>12.12</v>
      </c>
      <c r="M33" s="39"/>
      <c r="N33" s="39"/>
    </row>
    <row r="34" ht="12.75" spans="1:14">
      <c r="A34" s="21">
        <v>45419</v>
      </c>
      <c r="B34" s="27">
        <v>1358</v>
      </c>
      <c r="C34" s="27">
        <v>860611.57</v>
      </c>
      <c r="D34" s="22">
        <v>1202.91</v>
      </c>
      <c r="E34" s="41">
        <f t="shared" si="0"/>
        <v>0.204069833734631</v>
      </c>
      <c r="F34" s="23">
        <f t="shared" si="1"/>
        <v>0.29855696223094</v>
      </c>
      <c r="G34" s="23">
        <f t="shared" si="2"/>
        <v>0.232415972283524</v>
      </c>
      <c r="H34" s="24">
        <f t="shared" si="3"/>
        <v>0.88579528718704</v>
      </c>
      <c r="I34" s="42">
        <f>469+3834</f>
        <v>4303</v>
      </c>
      <c r="J34" s="42">
        <f>323387.98+2871301.64</f>
        <v>3194689.62</v>
      </c>
      <c r="K34" s="26">
        <f t="shared" si="9"/>
        <v>0.06489654</v>
      </c>
      <c r="L34" s="39">
        <v>12.13</v>
      </c>
      <c r="M34" s="39"/>
      <c r="N34" s="39"/>
    </row>
    <row r="35" ht="12.75" spans="1:14">
      <c r="A35" s="21">
        <v>45421</v>
      </c>
      <c r="B35" s="27">
        <v>1440</v>
      </c>
      <c r="C35" s="27">
        <v>927615.62</v>
      </c>
      <c r="D35" s="22">
        <v>1284.76</v>
      </c>
      <c r="E35" s="41">
        <f t="shared" si="0"/>
        <v>0.202211946366319</v>
      </c>
      <c r="F35" s="23">
        <f t="shared" si="1"/>
        <v>0.295838847560588</v>
      </c>
      <c r="G35" s="23">
        <f t="shared" si="2"/>
        <v>0.2303000167246</v>
      </c>
      <c r="H35" s="24">
        <f t="shared" si="3"/>
        <v>0.892194444444444</v>
      </c>
      <c r="I35" s="42">
        <f>449+3853</f>
        <v>4302</v>
      </c>
      <c r="J35" s="42">
        <f>317603.14+2902189.57</f>
        <v>3219792.71</v>
      </c>
      <c r="K35" s="26">
        <f t="shared" si="9"/>
        <v>0.0732642366666666</v>
      </c>
      <c r="L35" s="39">
        <v>12.17</v>
      </c>
      <c r="M35" s="39"/>
      <c r="N35" s="39"/>
    </row>
    <row r="36" ht="12.75" spans="1:14">
      <c r="A36" s="21">
        <v>45422</v>
      </c>
      <c r="B36" s="27">
        <v>1581</v>
      </c>
      <c r="C36" s="27">
        <v>1012452.33</v>
      </c>
      <c r="D36" s="22">
        <v>1412.48</v>
      </c>
      <c r="E36" s="41">
        <f t="shared" si="0"/>
        <v>0.203685718220432</v>
      </c>
      <c r="F36" s="23">
        <f t="shared" si="1"/>
        <v>0.29799499597181</v>
      </c>
      <c r="G36" s="23">
        <f t="shared" si="2"/>
        <v>0.231978501545846</v>
      </c>
      <c r="H36" s="24">
        <f t="shared" si="3"/>
        <v>0.893409234661607</v>
      </c>
      <c r="I36" s="25">
        <f>386+3916</f>
        <v>4302</v>
      </c>
      <c r="J36" s="25">
        <f>281365.03+3002797.78</f>
        <v>3284162.81</v>
      </c>
      <c r="K36" s="26">
        <f t="shared" si="9"/>
        <v>0.0947209366666665</v>
      </c>
      <c r="L36" s="15">
        <v>45645</v>
      </c>
      <c r="M36" s="39"/>
      <c r="N36" s="39"/>
    </row>
    <row r="37" ht="12.75" spans="1:14">
      <c r="A37" s="21">
        <v>45423</v>
      </c>
      <c r="B37" s="27">
        <v>1626</v>
      </c>
      <c r="C37" s="27">
        <v>1047457.72</v>
      </c>
      <c r="D37" s="22">
        <v>1528.12</v>
      </c>
      <c r="E37" s="41">
        <f t="shared" si="0"/>
        <v>0.212997160400899</v>
      </c>
      <c r="F37" s="23">
        <f t="shared" si="1"/>
        <v>0.311617763435836</v>
      </c>
      <c r="G37" s="23">
        <f t="shared" si="2"/>
        <v>0.24258334131138</v>
      </c>
      <c r="H37" s="24">
        <f t="shared" si="3"/>
        <v>0.93980319803198</v>
      </c>
      <c r="I37" s="25">
        <f>382+3920</f>
        <v>4302</v>
      </c>
      <c r="J37" s="25">
        <f>275591.43+3004474.41</f>
        <v>3280065.84</v>
      </c>
      <c r="K37" s="26">
        <f t="shared" si="9"/>
        <v>0.0933552800000001</v>
      </c>
      <c r="L37" s="15">
        <v>45646</v>
      </c>
      <c r="M37" s="39"/>
      <c r="N37" s="39"/>
    </row>
    <row r="38" ht="12.75" spans="1:14">
      <c r="A38" s="21">
        <v>45424</v>
      </c>
      <c r="B38" s="27">
        <v>1610</v>
      </c>
      <c r="C38" s="27">
        <v>1056635.7</v>
      </c>
      <c r="D38" s="22">
        <v>1556.01</v>
      </c>
      <c r="E38" s="41">
        <f t="shared" si="0"/>
        <v>0.21500074245078</v>
      </c>
      <c r="F38" s="23">
        <f t="shared" si="1"/>
        <v>0.314549031421142</v>
      </c>
      <c r="G38" s="23">
        <f t="shared" si="2"/>
        <v>0.244865229141889</v>
      </c>
      <c r="H38" s="24">
        <f t="shared" si="3"/>
        <v>0.966465838509317</v>
      </c>
      <c r="I38" s="42">
        <f>377+3923</f>
        <v>4300</v>
      </c>
      <c r="J38" s="42">
        <f>260730.37+3024816.58</f>
        <v>3285546.95</v>
      </c>
      <c r="K38" s="26">
        <f t="shared" si="9"/>
        <v>0.0951823166666667</v>
      </c>
      <c r="L38" s="15">
        <v>45647</v>
      </c>
      <c r="M38" s="39"/>
      <c r="N38" s="39"/>
    </row>
    <row r="39" ht="12.75" spans="1:14">
      <c r="A39" s="21">
        <v>45425</v>
      </c>
      <c r="B39" s="27">
        <v>1577</v>
      </c>
      <c r="C39" s="27">
        <v>1024508.35</v>
      </c>
      <c r="D39" s="22">
        <v>1536.71</v>
      </c>
      <c r="E39" s="41">
        <f t="shared" si="0"/>
        <v>0.218992514799904</v>
      </c>
      <c r="F39" s="23">
        <f t="shared" si="1"/>
        <v>0.320389049049722</v>
      </c>
      <c r="G39" s="23">
        <f t="shared" si="2"/>
        <v>0.249411475074849</v>
      </c>
      <c r="H39" s="24">
        <f t="shared" si="3"/>
        <v>0.974451490171211</v>
      </c>
      <c r="I39" s="42">
        <f>378+3922</f>
        <v>4300</v>
      </c>
      <c r="J39" s="42">
        <f>266529.08+3025290.36</f>
        <v>3291819.44</v>
      </c>
      <c r="K39" s="26">
        <f t="shared" si="9"/>
        <v>0.0972731466666666</v>
      </c>
      <c r="L39" s="15">
        <v>45649</v>
      </c>
      <c r="M39" s="39"/>
      <c r="N39" s="39"/>
    </row>
    <row r="40" ht="12.75" spans="1:14">
      <c r="A40" s="21">
        <v>45427</v>
      </c>
      <c r="B40" s="27">
        <v>1477</v>
      </c>
      <c r="C40" s="27">
        <v>973916.66</v>
      </c>
      <c r="D40" s="22">
        <v>1452.65</v>
      </c>
      <c r="E40" s="41">
        <f t="shared" si="0"/>
        <v>0.217766990452756</v>
      </c>
      <c r="F40" s="23">
        <f t="shared" si="1"/>
        <v>0.31859609014184</v>
      </c>
      <c r="G40" s="23">
        <f t="shared" si="2"/>
        <v>0.248015720359481</v>
      </c>
      <c r="H40" s="24">
        <f t="shared" si="3"/>
        <v>0.983513879485444</v>
      </c>
      <c r="I40" s="42">
        <f>434+3866</f>
        <v>4300</v>
      </c>
      <c r="J40" s="42">
        <f>301612.15+2983314.98</f>
        <v>3284927.13</v>
      </c>
      <c r="K40" s="26">
        <f t="shared" si="9"/>
        <v>0.09497571</v>
      </c>
      <c r="L40" s="15">
        <v>45652</v>
      </c>
      <c r="M40" s="39"/>
      <c r="N40" s="39"/>
    </row>
    <row r="41" ht="12.75" spans="1:14">
      <c r="A41" s="21">
        <v>45431</v>
      </c>
      <c r="B41" s="27">
        <v>1395</v>
      </c>
      <c r="C41" s="27">
        <v>891712.39</v>
      </c>
      <c r="D41" s="22">
        <v>1295.33</v>
      </c>
      <c r="E41" s="41">
        <f t="shared" si="0"/>
        <v>0.212084279775455</v>
      </c>
      <c r="F41" s="23">
        <f t="shared" si="1"/>
        <v>0.310282206575598</v>
      </c>
      <c r="G41" s="23">
        <f t="shared" si="2"/>
        <v>0.241543657815498</v>
      </c>
      <c r="H41" s="24">
        <f t="shared" si="3"/>
        <v>0.928551971326165</v>
      </c>
      <c r="I41" s="25">
        <f>491+3807</f>
        <v>4298</v>
      </c>
      <c r="J41" s="25">
        <f>352934.63+2985203.79</f>
        <v>3338138.42</v>
      </c>
      <c r="K41" s="26">
        <f t="shared" si="9"/>
        <v>0.112712806666667</v>
      </c>
      <c r="L41" s="58">
        <v>46022</v>
      </c>
      <c r="M41" s="39"/>
      <c r="N41" s="39"/>
    </row>
    <row r="42" ht="12.75" spans="1:14">
      <c r="A42" s="21">
        <v>45433</v>
      </c>
      <c r="B42" s="27">
        <v>1445</v>
      </c>
      <c r="C42" s="27">
        <v>874511.15</v>
      </c>
      <c r="D42" s="29">
        <v>1241.77</v>
      </c>
      <c r="E42" s="41">
        <f t="shared" si="0"/>
        <v>0.207314017665755</v>
      </c>
      <c r="F42" s="23">
        <f t="shared" si="1"/>
        <v>0.30330324776305</v>
      </c>
      <c r="G42" s="23">
        <f t="shared" si="2"/>
        <v>0.236110786694944</v>
      </c>
      <c r="H42" s="24">
        <f t="shared" si="3"/>
        <v>0.859356401384083</v>
      </c>
      <c r="I42" s="25">
        <f>472+3825</f>
        <v>4297</v>
      </c>
      <c r="J42" s="25">
        <f>348589.78+2993490.87</f>
        <v>3342080.65</v>
      </c>
      <c r="K42" s="26">
        <f t="shared" si="9"/>
        <v>0.114026883333333</v>
      </c>
      <c r="L42" s="58">
        <v>45659</v>
      </c>
      <c r="M42" s="39"/>
      <c r="N42" s="39"/>
    </row>
    <row r="43" ht="12.75" spans="1:14">
      <c r="A43" s="21">
        <v>45437</v>
      </c>
      <c r="B43" s="27">
        <v>1638</v>
      </c>
      <c r="C43" s="27">
        <v>987098.57</v>
      </c>
      <c r="D43" s="22">
        <v>1332.18</v>
      </c>
      <c r="E43" s="41">
        <f t="shared" si="0"/>
        <v>0.197040382704637</v>
      </c>
      <c r="F43" s="23">
        <f t="shared" si="1"/>
        <v>0.288272779080209</v>
      </c>
      <c r="G43" s="23">
        <f t="shared" si="2"/>
        <v>0.224410101617309</v>
      </c>
      <c r="H43" s="24">
        <f t="shared" si="3"/>
        <v>0.813296703296703</v>
      </c>
      <c r="I43" s="42">
        <f>476+3821</f>
        <v>4297</v>
      </c>
      <c r="J43" s="42">
        <f>355835.7+2974055.45</f>
        <v>3329891.15</v>
      </c>
      <c r="K43" s="26">
        <f t="shared" si="9"/>
        <v>0.109963716666667</v>
      </c>
      <c r="L43" s="15">
        <v>45660</v>
      </c>
      <c r="M43" s="39"/>
      <c r="N43" s="39"/>
    </row>
    <row r="44" ht="12.75" spans="1:14">
      <c r="A44" s="21">
        <v>45441</v>
      </c>
      <c r="B44" s="27">
        <v>1685</v>
      </c>
      <c r="C44" s="27">
        <v>1011440.39</v>
      </c>
      <c r="D44" s="22">
        <v>1340.2</v>
      </c>
      <c r="E44" s="41">
        <f t="shared" si="0"/>
        <v>0.193455988048885</v>
      </c>
      <c r="F44" s="23">
        <f t="shared" si="1"/>
        <v>0.283028760597547</v>
      </c>
      <c r="G44" s="23">
        <f t="shared" si="2"/>
        <v>0.220327819813484</v>
      </c>
      <c r="H44" s="24">
        <f t="shared" si="3"/>
        <v>0.795370919881306</v>
      </c>
      <c r="I44" s="42">
        <f>489+3807</f>
        <v>4296</v>
      </c>
      <c r="J44" s="42">
        <f>365181.29+2967353.3</f>
        <v>3332534.59</v>
      </c>
      <c r="K44" s="26">
        <f t="shared" si="9"/>
        <v>0.110844863333333</v>
      </c>
      <c r="L44" s="15">
        <v>45664</v>
      </c>
      <c r="M44" s="39"/>
      <c r="N44" s="39"/>
    </row>
    <row r="45" ht="12.75" spans="1:14">
      <c r="A45" s="21">
        <v>45442</v>
      </c>
      <c r="B45" s="27">
        <v>1623</v>
      </c>
      <c r="C45" s="27">
        <v>969803.62</v>
      </c>
      <c r="D45" s="22">
        <v>1277.88</v>
      </c>
      <c r="E45" s="41">
        <f t="shared" si="0"/>
        <v>0.192379648985018</v>
      </c>
      <c r="F45" s="23">
        <f t="shared" si="1"/>
        <v>0.281454061802739</v>
      </c>
      <c r="G45" s="23">
        <f t="shared" si="2"/>
        <v>0.219101972830334</v>
      </c>
      <c r="H45" s="24">
        <f t="shared" si="3"/>
        <v>0.78735674676525</v>
      </c>
      <c r="I45" s="25">
        <f>494+3801</f>
        <v>4295</v>
      </c>
      <c r="J45" s="25">
        <f>341033.56+2999567.36</f>
        <v>3340600.92</v>
      </c>
      <c r="K45" s="26">
        <f t="shared" si="9"/>
        <v>0.11353364</v>
      </c>
      <c r="L45" s="15">
        <v>45670</v>
      </c>
      <c r="M45" s="39"/>
      <c r="N45" s="39"/>
    </row>
    <row r="46" ht="12.75" spans="1:14">
      <c r="A46" s="21">
        <v>45447</v>
      </c>
      <c r="B46" s="27">
        <v>1951</v>
      </c>
      <c r="C46" s="27">
        <v>1056133.01</v>
      </c>
      <c r="D46" s="22">
        <v>1354.14</v>
      </c>
      <c r="E46" s="41">
        <f t="shared" si="0"/>
        <v>0.187196535027345</v>
      </c>
      <c r="F46" s="23">
        <f t="shared" si="1"/>
        <v>0.273871095081102</v>
      </c>
      <c r="G46" s="23">
        <f t="shared" si="2"/>
        <v>0.213198903043472</v>
      </c>
      <c r="H46" s="24">
        <f t="shared" si="3"/>
        <v>0.69407483341876</v>
      </c>
      <c r="I46" s="42">
        <f>437+3856</f>
        <v>4293</v>
      </c>
      <c r="J46" s="42">
        <f>290774.21+3089905.06</f>
        <v>3380679.27</v>
      </c>
      <c r="K46" s="26">
        <f t="shared" si="9"/>
        <v>0.12689309</v>
      </c>
      <c r="L46" s="15">
        <v>45673</v>
      </c>
      <c r="M46" s="39"/>
      <c r="N46" s="39"/>
    </row>
    <row r="47" ht="12.75" spans="1:14">
      <c r="A47" s="21">
        <v>45449</v>
      </c>
      <c r="B47" s="27">
        <v>2100</v>
      </c>
      <c r="C47" s="27">
        <v>1096325.31</v>
      </c>
      <c r="D47" s="22">
        <v>1420.1</v>
      </c>
      <c r="E47" s="41">
        <f t="shared" si="0"/>
        <v>0.189117771986857</v>
      </c>
      <c r="F47" s="23">
        <f t="shared" si="1"/>
        <v>0.276681891071182</v>
      </c>
      <c r="G47" s="23">
        <f t="shared" si="2"/>
        <v>0.215387007712154</v>
      </c>
      <c r="H47" s="24">
        <f t="shared" si="3"/>
        <v>0.676238095238095</v>
      </c>
      <c r="I47" s="42">
        <f>457+3836</f>
        <v>4293</v>
      </c>
      <c r="J47" s="42">
        <f>318248.55+3092960.35</f>
        <v>3411208.9</v>
      </c>
      <c r="K47" s="26">
        <f t="shared" si="9"/>
        <v>0.137069633333333</v>
      </c>
      <c r="L47" s="15">
        <v>45675</v>
      </c>
      <c r="M47" s="39"/>
      <c r="N47" s="39"/>
    </row>
    <row r="48" ht="12.75" spans="1:14">
      <c r="A48" s="21">
        <v>45450</v>
      </c>
      <c r="B48" s="27">
        <v>2271</v>
      </c>
      <c r="C48" s="27">
        <v>1190196.59</v>
      </c>
      <c r="D48" s="22">
        <v>1539.6</v>
      </c>
      <c r="E48" s="41">
        <f t="shared" si="0"/>
        <v>0.188860900702127</v>
      </c>
      <c r="F48" s="23">
        <f t="shared" si="1"/>
        <v>0.276306084862838</v>
      </c>
      <c r="G48" s="23">
        <f t="shared" si="2"/>
        <v>0.21509445595034</v>
      </c>
      <c r="H48" s="24">
        <f t="shared" si="3"/>
        <v>0.677939233817701</v>
      </c>
      <c r="I48" s="42">
        <f>479+3814</f>
        <v>4293</v>
      </c>
      <c r="J48" s="42">
        <f>352204.33+3040237.17</f>
        <v>3392441.5</v>
      </c>
      <c r="K48" s="26">
        <f t="shared" si="9"/>
        <v>0.130813833333333</v>
      </c>
      <c r="L48" s="15">
        <v>45678</v>
      </c>
      <c r="M48" s="39"/>
      <c r="N48" s="39"/>
    </row>
    <row r="49" ht="12.75" spans="1:14">
      <c r="A49" s="21">
        <v>45454</v>
      </c>
      <c r="B49" s="27">
        <v>2302</v>
      </c>
      <c r="C49" s="27">
        <v>1210695.54</v>
      </c>
      <c r="D49" s="22">
        <v>1552.13</v>
      </c>
      <c r="E49" s="41">
        <f t="shared" si="0"/>
        <v>0.187174208967516</v>
      </c>
      <c r="F49" s="23">
        <f t="shared" si="1"/>
        <v>0.273838431749736</v>
      </c>
      <c r="G49" s="23">
        <f t="shared" si="2"/>
        <v>0.213173475802182</v>
      </c>
      <c r="H49" s="24">
        <f t="shared" si="3"/>
        <v>0.674252823631625</v>
      </c>
      <c r="I49" s="42">
        <f>459+3832</f>
        <v>4291</v>
      </c>
      <c r="J49" s="42">
        <f>355011.47+3060520.87</f>
        <v>3415532.34</v>
      </c>
      <c r="K49" s="26">
        <f t="shared" si="9"/>
        <v>0.13851078</v>
      </c>
      <c r="L49" s="15">
        <v>45683</v>
      </c>
      <c r="M49" s="39"/>
      <c r="N49" s="39"/>
    </row>
    <row r="50" ht="12.75" spans="1:14">
      <c r="A50" s="21">
        <v>45466</v>
      </c>
      <c r="B50" s="27">
        <v>2190</v>
      </c>
      <c r="C50" s="27">
        <v>1167304.04</v>
      </c>
      <c r="D50" s="22">
        <v>1408.58</v>
      </c>
      <c r="E50" s="41">
        <f t="shared" si="0"/>
        <v>0.17617747643536</v>
      </c>
      <c r="F50" s="23">
        <f t="shared" si="1"/>
        <v>0.257750061415019</v>
      </c>
      <c r="G50" s="23">
        <f t="shared" si="2"/>
        <v>0.200649251929257</v>
      </c>
      <c r="H50" s="24">
        <f t="shared" si="3"/>
        <v>0.643187214611872</v>
      </c>
      <c r="I50" s="42">
        <f>509+3783</f>
        <v>4292</v>
      </c>
      <c r="J50" s="42">
        <f>391731.73+3057014.4</f>
        <v>3448746.13</v>
      </c>
      <c r="K50" s="26">
        <f t="shared" si="9"/>
        <v>0.149582043333333</v>
      </c>
      <c r="L50" s="15">
        <v>45685</v>
      </c>
      <c r="M50" s="39"/>
      <c r="N50" s="39"/>
    </row>
    <row r="51" ht="12.75" spans="1:14">
      <c r="A51" s="21">
        <v>45469</v>
      </c>
      <c r="B51" s="27">
        <v>2270</v>
      </c>
      <c r="C51" s="27">
        <v>1213107.6</v>
      </c>
      <c r="D51" s="22">
        <v>1445.35</v>
      </c>
      <c r="E51" s="41">
        <f t="shared" si="0"/>
        <v>0.173950851515562</v>
      </c>
      <c r="F51" s="23">
        <f t="shared" si="1"/>
        <v>0.254492478655644</v>
      </c>
      <c r="G51" s="23">
        <f t="shared" si="2"/>
        <v>0.198113339657587</v>
      </c>
      <c r="H51" s="24">
        <f t="shared" si="3"/>
        <v>0.636718061674009</v>
      </c>
      <c r="I51" s="42">
        <f>513+3778</f>
        <v>4291</v>
      </c>
      <c r="J51" s="42">
        <f>389529.59+3117666.47</f>
        <v>3507196.06</v>
      </c>
      <c r="K51" s="26">
        <f t="shared" si="9"/>
        <v>0.169065353333333</v>
      </c>
      <c r="L51" s="15">
        <v>45687</v>
      </c>
      <c r="M51" s="39"/>
      <c r="N51" s="39"/>
    </row>
    <row r="52" ht="12.75" spans="1:14">
      <c r="A52" s="21">
        <v>45471</v>
      </c>
      <c r="B52" s="27">
        <v>2280</v>
      </c>
      <c r="C52" s="27">
        <v>1202549.09</v>
      </c>
      <c r="D52" s="22">
        <v>1426.51</v>
      </c>
      <c r="E52" s="41">
        <f t="shared" si="0"/>
        <v>0.173190817515816</v>
      </c>
      <c r="F52" s="23">
        <f t="shared" si="1"/>
        <v>0.25338053850259</v>
      </c>
      <c r="G52" s="23">
        <f t="shared" si="2"/>
        <v>0.197247733811848</v>
      </c>
      <c r="H52" s="24">
        <f t="shared" si="3"/>
        <v>0.625662280701754</v>
      </c>
      <c r="I52" s="42">
        <f>537+3758</f>
        <v>4295</v>
      </c>
      <c r="J52" s="42">
        <f>424792.22+3106202.06</f>
        <v>3530994.28</v>
      </c>
      <c r="K52" s="26">
        <f t="shared" si="9"/>
        <v>0.176998093333333</v>
      </c>
      <c r="L52" s="15">
        <v>45689</v>
      </c>
      <c r="M52" s="39"/>
      <c r="N52" s="39"/>
    </row>
    <row r="53" ht="12.75" spans="1:14">
      <c r="A53" s="21">
        <v>45472</v>
      </c>
      <c r="B53" s="27">
        <v>2281</v>
      </c>
      <c r="C53" s="27">
        <v>1232369.06</v>
      </c>
      <c r="D53" s="22">
        <v>1419.74</v>
      </c>
      <c r="E53" s="41">
        <f t="shared" si="0"/>
        <v>0.168198023407047</v>
      </c>
      <c r="F53" s="23">
        <f t="shared" si="1"/>
        <v>0.246076012327022</v>
      </c>
      <c r="G53" s="23">
        <f t="shared" si="2"/>
        <v>0.191561420083039</v>
      </c>
      <c r="H53" s="24">
        <f t="shared" si="3"/>
        <v>0.622419991231916</v>
      </c>
      <c r="I53" s="42">
        <f>536+3750</f>
        <v>4286</v>
      </c>
      <c r="J53" s="42">
        <f>414073.04+3128725.32</f>
        <v>3542798.36</v>
      </c>
      <c r="K53" s="26">
        <f t="shared" si="9"/>
        <v>0.180932786666667</v>
      </c>
      <c r="L53" s="15">
        <v>45692</v>
      </c>
      <c r="M53" s="39"/>
      <c r="N53" s="39"/>
    </row>
    <row r="54" ht="12.75" spans="1:14">
      <c r="A54" s="21">
        <v>45473</v>
      </c>
      <c r="B54" s="27">
        <v>2294</v>
      </c>
      <c r="C54" s="27">
        <v>1223010.41</v>
      </c>
      <c r="D54" s="22">
        <v>1414.17</v>
      </c>
      <c r="E54" s="41">
        <f t="shared" si="0"/>
        <v>0.168820165643561</v>
      </c>
      <c r="F54" s="23">
        <f t="shared" si="1"/>
        <v>0.246986214941539</v>
      </c>
      <c r="G54" s="23">
        <f t="shared" si="2"/>
        <v>0.192269980432955</v>
      </c>
      <c r="H54" s="24">
        <f t="shared" si="3"/>
        <v>0.616464690496949</v>
      </c>
      <c r="I54" s="42">
        <f>554+3730</f>
        <v>4284</v>
      </c>
      <c r="J54" s="42">
        <f>462064.55+3149471.43</f>
        <v>3611535.98</v>
      </c>
      <c r="K54" s="26">
        <f t="shared" si="9"/>
        <v>0.203845326666667</v>
      </c>
      <c r="L54" s="15">
        <v>45693</v>
      </c>
      <c r="M54" s="39"/>
      <c r="N54" s="39"/>
    </row>
    <row r="55" ht="12.75" spans="1:14">
      <c r="A55" s="21">
        <v>45475</v>
      </c>
      <c r="B55" s="27">
        <v>2350</v>
      </c>
      <c r="C55" s="27">
        <v>1267802.09</v>
      </c>
      <c r="D55" s="22">
        <v>1436.65</v>
      </c>
      <c r="E55" s="41">
        <f t="shared" si="0"/>
        <v>0.16544451350447</v>
      </c>
      <c r="F55" s="23">
        <f t="shared" si="1"/>
        <v>0.242047589620238</v>
      </c>
      <c r="G55" s="23">
        <f t="shared" si="2"/>
        <v>0.1884254363392</v>
      </c>
      <c r="H55" s="24">
        <f t="shared" si="3"/>
        <v>0.611340425531915</v>
      </c>
      <c r="I55" s="42">
        <f>517+3768</f>
        <v>4285</v>
      </c>
      <c r="J55" s="42">
        <f>457692.78+3290221.59</f>
        <v>3747914.37</v>
      </c>
      <c r="K55" s="26">
        <f t="shared" si="9"/>
        <v>0.24930479</v>
      </c>
      <c r="L55" s="15">
        <v>45694</v>
      </c>
      <c r="M55" s="39"/>
      <c r="N55" s="39"/>
    </row>
    <row r="56" ht="12.75" spans="1:14">
      <c r="A56" s="21">
        <v>45476</v>
      </c>
      <c r="B56" s="27">
        <v>2410</v>
      </c>
      <c r="C56" s="27">
        <v>1315735.61</v>
      </c>
      <c r="D56" s="22">
        <v>1478.3</v>
      </c>
      <c r="E56" s="41">
        <f t="shared" si="0"/>
        <v>0.164038883161337</v>
      </c>
      <c r="F56" s="23">
        <f t="shared" si="1"/>
        <v>0.239991133173024</v>
      </c>
      <c r="G56" s="23">
        <f t="shared" si="2"/>
        <v>0.186824558164843</v>
      </c>
      <c r="H56" s="24">
        <f t="shared" si="3"/>
        <v>0.613402489626556</v>
      </c>
      <c r="I56" s="42">
        <f>556+3730</f>
        <v>4286</v>
      </c>
      <c r="J56" s="42">
        <f>503192.24+3262300.22</f>
        <v>3765492.46</v>
      </c>
      <c r="K56" s="26">
        <f t="shared" si="9"/>
        <v>0.255164153333333</v>
      </c>
      <c r="L56" s="15">
        <v>45695</v>
      </c>
      <c r="M56" s="39"/>
      <c r="N56" s="39"/>
    </row>
    <row r="57" ht="12.75" spans="1:14">
      <c r="A57" s="21">
        <v>45477</v>
      </c>
      <c r="B57" s="27">
        <v>2421</v>
      </c>
      <c r="C57" s="27">
        <v>1324995.67</v>
      </c>
      <c r="D57" s="22">
        <v>1472.91</v>
      </c>
      <c r="E57" s="41">
        <f t="shared" si="0"/>
        <v>0.162298537926543</v>
      </c>
      <c r="F57" s="23">
        <f t="shared" si="1"/>
        <v>0.237444984254175</v>
      </c>
      <c r="G57" s="23">
        <f t="shared" si="2"/>
        <v>0.184842471824832</v>
      </c>
      <c r="H57" s="24">
        <f t="shared" si="3"/>
        <v>0.608389095415118</v>
      </c>
      <c r="I57" s="42">
        <f>551+3732</f>
        <v>4283</v>
      </c>
      <c r="J57" s="42">
        <f>486476.87+3192000.4</f>
        <v>3678477.27</v>
      </c>
      <c r="K57" s="26">
        <f t="shared" si="9"/>
        <v>0.22615909</v>
      </c>
      <c r="L57" s="15">
        <v>45696</v>
      </c>
      <c r="M57" s="39"/>
      <c r="N57" s="39"/>
    </row>
    <row r="58" ht="12.75" spans="1:14">
      <c r="A58" s="21">
        <v>45478</v>
      </c>
      <c r="B58" s="27">
        <v>2461</v>
      </c>
      <c r="C58" s="27">
        <v>1337001.31</v>
      </c>
      <c r="D58" s="22">
        <v>1453.98</v>
      </c>
      <c r="E58" s="41">
        <f t="shared" si="0"/>
        <v>0.158774025434575</v>
      </c>
      <c r="F58" s="23">
        <f t="shared" si="1"/>
        <v>0.232288574197433</v>
      </c>
      <c r="G58" s="23">
        <f t="shared" si="2"/>
        <v>0.180828390063432</v>
      </c>
      <c r="H58" s="24">
        <f t="shared" si="3"/>
        <v>0.590808614384397</v>
      </c>
      <c r="I58" s="42">
        <f>602+3741-60</f>
        <v>4283</v>
      </c>
      <c r="J58" s="42">
        <f>502724.45+3142324.29-25794.41</f>
        <v>3619254.33</v>
      </c>
      <c r="K58" s="26">
        <f t="shared" si="9"/>
        <v>0.20641811</v>
      </c>
      <c r="L58" s="15">
        <v>45698</v>
      </c>
      <c r="M58" s="39"/>
      <c r="N58" s="39"/>
    </row>
    <row r="59" ht="12.75" spans="1:14">
      <c r="A59" s="21">
        <v>45479</v>
      </c>
      <c r="B59" s="27">
        <v>2565</v>
      </c>
      <c r="C59" s="27">
        <v>1382684.31</v>
      </c>
      <c r="D59" s="22">
        <v>1483.99</v>
      </c>
      <c r="E59" s="41">
        <f t="shared" si="0"/>
        <v>0.156697040989783</v>
      </c>
      <c r="F59" s="23">
        <f t="shared" si="1"/>
        <v>0.229249917502861</v>
      </c>
      <c r="G59" s="23">
        <f t="shared" si="2"/>
        <v>0.178462903943706</v>
      </c>
      <c r="H59" s="24">
        <f t="shared" si="3"/>
        <v>0.578553606237817</v>
      </c>
      <c r="I59" s="25">
        <f>619-60+3722</f>
        <v>4281</v>
      </c>
      <c r="J59" s="25">
        <f>518663.2-25793.87+3147388.39</f>
        <v>3640257.72</v>
      </c>
      <c r="K59" s="26">
        <f t="shared" si="9"/>
        <v>0.21341924</v>
      </c>
      <c r="L59" s="58">
        <v>45699</v>
      </c>
      <c r="M59" s="39"/>
      <c r="N59" s="39"/>
    </row>
    <row r="60" ht="12.75" spans="1:14">
      <c r="A60" s="21">
        <v>45480</v>
      </c>
      <c r="B60" s="27">
        <v>2559</v>
      </c>
      <c r="C60" s="27">
        <v>1368156.16</v>
      </c>
      <c r="D60" s="22">
        <v>1422.35</v>
      </c>
      <c r="E60" s="41">
        <f t="shared" si="0"/>
        <v>0.151783185334633</v>
      </c>
      <c r="F60" s="23">
        <f t="shared" si="1"/>
        <v>0.222060879366285</v>
      </c>
      <c r="G60" s="23">
        <f t="shared" si="2"/>
        <v>0.172866493544129</v>
      </c>
      <c r="H60" s="24">
        <f t="shared" si="3"/>
        <v>0.555822586948027</v>
      </c>
      <c r="I60" s="42">
        <f>601-60+3741</f>
        <v>4282</v>
      </c>
      <c r="J60" s="42">
        <f>505715.15-25832.19+3207943.09</f>
        <v>3687826.05</v>
      </c>
      <c r="K60" s="26">
        <f t="shared" si="9"/>
        <v>0.22927535</v>
      </c>
      <c r="L60" s="15">
        <v>45700</v>
      </c>
      <c r="M60" s="39"/>
      <c r="N60" s="39"/>
    </row>
    <row r="61" ht="12.75" spans="1:14">
      <c r="A61" s="21">
        <v>45483</v>
      </c>
      <c r="B61" s="27">
        <v>2460</v>
      </c>
      <c r="C61" s="27">
        <v>1295247.93</v>
      </c>
      <c r="D61" s="22">
        <v>1306.91</v>
      </c>
      <c r="E61" s="41">
        <f t="shared" si="0"/>
        <v>0.147314545409079</v>
      </c>
      <c r="F61" s="23">
        <f t="shared" si="1"/>
        <v>0.215523197940953</v>
      </c>
      <c r="G61" s="23">
        <f t="shared" si="2"/>
        <v>0.167777141168641</v>
      </c>
      <c r="H61" s="24">
        <f t="shared" si="3"/>
        <v>0.531264227642276</v>
      </c>
      <c r="I61" s="42">
        <f>638-60+3704</f>
        <v>4282</v>
      </c>
      <c r="J61" s="42">
        <f>524997.43-25876.57+3210682.47</f>
        <v>3709803.33</v>
      </c>
      <c r="K61" s="26">
        <f t="shared" si="9"/>
        <v>0.23660111</v>
      </c>
      <c r="L61" s="15">
        <v>45701</v>
      </c>
      <c r="M61" s="39"/>
      <c r="N61" s="39"/>
    </row>
    <row r="62" spans="1:14">
      <c r="A62" s="21">
        <v>45484</v>
      </c>
      <c r="B62" s="27">
        <v>2700</v>
      </c>
      <c r="C62" s="27">
        <v>1422217.67</v>
      </c>
      <c r="D62" s="22">
        <v>1452.34</v>
      </c>
      <c r="E62" s="41">
        <f t="shared" si="0"/>
        <v>0.149092255336695</v>
      </c>
      <c r="F62" s="23">
        <f t="shared" si="1"/>
        <v>0.218124011917248</v>
      </c>
      <c r="G62" s="23">
        <f t="shared" si="2"/>
        <v>0.169801782310861</v>
      </c>
      <c r="H62" s="24">
        <f t="shared" si="3"/>
        <v>0.537903703703704</v>
      </c>
      <c r="I62" s="42">
        <v>6</v>
      </c>
      <c r="J62" s="42">
        <f>575727.98+3147366.42</f>
        <v>3723094.4</v>
      </c>
      <c r="K62" s="26">
        <f t="shared" si="9"/>
        <v>0.241031466666667</v>
      </c>
      <c r="L62" s="15">
        <v>45702</v>
      </c>
      <c r="M62" s="39"/>
      <c r="N62" s="39"/>
    </row>
    <row r="63" ht="12.75" spans="1:14">
      <c r="A63" s="21">
        <v>45487</v>
      </c>
      <c r="B63" s="27">
        <v>2791</v>
      </c>
      <c r="C63" s="27">
        <v>1458661.58</v>
      </c>
      <c r="D63" s="22">
        <v>1445.98</v>
      </c>
      <c r="E63" s="41">
        <f t="shared" si="0"/>
        <v>0.144730678379834</v>
      </c>
      <c r="F63" s="23">
        <f t="shared" si="1"/>
        <v>0.211742965081729</v>
      </c>
      <c r="G63" s="23">
        <f t="shared" si="2"/>
        <v>0.164834364390402</v>
      </c>
      <c r="H63" s="24">
        <f t="shared" si="3"/>
        <v>0.518086707273379</v>
      </c>
      <c r="I63" s="42"/>
      <c r="J63" s="42"/>
      <c r="K63" s="26"/>
      <c r="L63" s="39"/>
      <c r="M63" s="39"/>
      <c r="N63" s="39"/>
    </row>
    <row r="64" ht="12.75" spans="1:14">
      <c r="A64" s="21">
        <v>45488</v>
      </c>
      <c r="B64" s="27">
        <v>2817</v>
      </c>
      <c r="C64" s="27">
        <v>1520993.74</v>
      </c>
      <c r="D64" s="22">
        <v>1470.68</v>
      </c>
      <c r="E64" s="41">
        <f t="shared" si="0"/>
        <v>0.141170390352823</v>
      </c>
      <c r="F64" s="23">
        <f t="shared" si="1"/>
        <v>0.206534214927144</v>
      </c>
      <c r="G64" s="23">
        <f t="shared" si="2"/>
        <v>0.160779537725119</v>
      </c>
      <c r="H64" s="24">
        <f t="shared" si="3"/>
        <v>0.52207312744054</v>
      </c>
      <c r="I64" s="42"/>
      <c r="J64" s="42"/>
      <c r="K64" s="26"/>
      <c r="L64" s="39"/>
      <c r="M64" s="39"/>
      <c r="N64" s="39"/>
    </row>
    <row r="65" ht="12.75" spans="1:14">
      <c r="A65" s="21">
        <v>45489</v>
      </c>
      <c r="B65" s="27">
        <v>2828</v>
      </c>
      <c r="C65" s="27">
        <v>1532308.69</v>
      </c>
      <c r="D65" s="22">
        <v>1481.01</v>
      </c>
      <c r="E65" s="41">
        <f t="shared" si="0"/>
        <v>0.14111220631399</v>
      </c>
      <c r="F65" s="23">
        <f t="shared" si="1"/>
        <v>0.20644909088129</v>
      </c>
      <c r="G65" s="23">
        <f t="shared" si="2"/>
        <v>0.16071327168418</v>
      </c>
      <c r="H65" s="24">
        <f t="shared" si="3"/>
        <v>0.523695190947666</v>
      </c>
      <c r="I65" s="42"/>
      <c r="J65" s="42"/>
      <c r="K65" s="26"/>
      <c r="L65" s="39"/>
      <c r="M65" s="39"/>
      <c r="N65" s="39"/>
    </row>
    <row r="66" ht="12.75" spans="1:14">
      <c r="A66" s="21">
        <v>45491</v>
      </c>
      <c r="B66" s="27">
        <v>2795</v>
      </c>
      <c r="C66" s="27">
        <v>1542754.75</v>
      </c>
      <c r="D66" s="22">
        <v>1453.8</v>
      </c>
      <c r="E66" s="41">
        <f t="shared" ref="E66:E129" si="10">(D66*0.8)*182.5/C66</f>
        <v>0.137581686266077</v>
      </c>
      <c r="F66" s="23">
        <f t="shared" ref="F66:F129" si="11">(D66*0.8)*267/C66</f>
        <v>0.201283891687904</v>
      </c>
      <c r="G66" s="23">
        <f t="shared" ref="G66:G129" si="12">E66*0.7+F66*0.3</f>
        <v>0.156692347892625</v>
      </c>
      <c r="H66" s="24">
        <f t="shared" ref="H66:H129" si="13">D66/B66</f>
        <v>0.520143112701252</v>
      </c>
      <c r="I66" s="42"/>
      <c r="J66" s="42"/>
      <c r="K66" s="26"/>
      <c r="L66" s="39"/>
      <c r="M66" s="39"/>
      <c r="N66" s="39"/>
    </row>
    <row r="67" ht="12.75" spans="1:14">
      <c r="A67" s="21">
        <v>45492</v>
      </c>
      <c r="B67" s="27">
        <v>2730</v>
      </c>
      <c r="C67" s="27">
        <v>1518099.73</v>
      </c>
      <c r="D67" s="22">
        <v>1409.58</v>
      </c>
      <c r="E67" s="41">
        <f t="shared" si="10"/>
        <v>0.13556334668474</v>
      </c>
      <c r="F67" s="23">
        <f t="shared" si="11"/>
        <v>0.198331033231921</v>
      </c>
      <c r="G67" s="23">
        <f t="shared" si="12"/>
        <v>0.154393652648894</v>
      </c>
      <c r="H67" s="24">
        <f t="shared" si="13"/>
        <v>0.51632967032967</v>
      </c>
      <c r="I67" s="42"/>
      <c r="J67" s="42"/>
      <c r="K67" s="26"/>
      <c r="L67" s="39"/>
      <c r="M67" s="39"/>
      <c r="N67" s="39"/>
    </row>
    <row r="68" ht="12.75" spans="1:14">
      <c r="A68" s="21">
        <v>45494</v>
      </c>
      <c r="B68" s="27">
        <v>2730</v>
      </c>
      <c r="C68" s="27">
        <v>1503446.56</v>
      </c>
      <c r="D68" s="22">
        <v>1380.55</v>
      </c>
      <c r="E68" s="41">
        <f t="shared" si="10"/>
        <v>0.134065490162816</v>
      </c>
      <c r="F68" s="23">
        <f t="shared" si="11"/>
        <v>0.196139648621764</v>
      </c>
      <c r="G68" s="23">
        <f t="shared" si="12"/>
        <v>0.152687737700501</v>
      </c>
      <c r="H68" s="24">
        <f t="shared" si="13"/>
        <v>0.505695970695971</v>
      </c>
      <c r="I68" s="42"/>
      <c r="J68" s="42"/>
      <c r="K68" s="26"/>
      <c r="L68" s="39"/>
      <c r="M68" s="39"/>
      <c r="N68" s="39"/>
    </row>
    <row r="69" ht="12.75" spans="1:14">
      <c r="A69" s="21">
        <v>45495</v>
      </c>
      <c r="B69" s="27">
        <v>2716</v>
      </c>
      <c r="C69" s="27">
        <v>1491925.11</v>
      </c>
      <c r="D69" s="22">
        <v>1374.78</v>
      </c>
      <c r="E69" s="41">
        <f t="shared" si="10"/>
        <v>0.134536163145615</v>
      </c>
      <c r="F69" s="23">
        <f t="shared" si="11"/>
        <v>0.196828249643174</v>
      </c>
      <c r="G69" s="23">
        <f t="shared" si="12"/>
        <v>0.153223789094883</v>
      </c>
      <c r="H69" s="24">
        <f t="shared" si="13"/>
        <v>0.506178203240059</v>
      </c>
      <c r="I69" s="42"/>
      <c r="J69" s="42"/>
      <c r="K69" s="26"/>
      <c r="L69" s="39"/>
      <c r="M69" s="39"/>
      <c r="N69" s="39"/>
    </row>
    <row r="70" ht="12.75" spans="1:14">
      <c r="A70" s="21">
        <v>45496</v>
      </c>
      <c r="B70" s="27">
        <v>2770</v>
      </c>
      <c r="C70" s="27">
        <v>1528875.51</v>
      </c>
      <c r="D70" s="22">
        <v>1417.72</v>
      </c>
      <c r="E70" s="41">
        <f t="shared" si="10"/>
        <v>0.13538520216077</v>
      </c>
      <c r="F70" s="23">
        <f t="shared" si="11"/>
        <v>0.198070405353017</v>
      </c>
      <c r="G70" s="23">
        <f t="shared" si="12"/>
        <v>0.154190763118444</v>
      </c>
      <c r="H70" s="24">
        <f t="shared" si="13"/>
        <v>0.511812274368231</v>
      </c>
      <c r="I70" s="42"/>
      <c r="J70" s="42"/>
      <c r="K70" s="26"/>
      <c r="L70" s="39"/>
      <c r="M70" s="39"/>
      <c r="N70" s="39"/>
    </row>
    <row r="71" ht="12.75" spans="1:14">
      <c r="A71" s="21">
        <v>45498</v>
      </c>
      <c r="B71" s="27">
        <v>2760</v>
      </c>
      <c r="C71" s="27">
        <v>1547541.22</v>
      </c>
      <c r="D71" s="22">
        <v>1423.23</v>
      </c>
      <c r="E71" s="41">
        <f t="shared" si="10"/>
        <v>0.134272080972422</v>
      </c>
      <c r="F71" s="23">
        <f t="shared" si="11"/>
        <v>0.196441893806228</v>
      </c>
      <c r="G71" s="23">
        <f t="shared" si="12"/>
        <v>0.152923024822563</v>
      </c>
      <c r="H71" s="24">
        <f t="shared" si="13"/>
        <v>0.515663043478261</v>
      </c>
      <c r="I71" s="42"/>
      <c r="J71" s="42"/>
      <c r="K71" s="26"/>
      <c r="L71" s="39"/>
      <c r="M71" s="39"/>
      <c r="N71" s="39"/>
    </row>
    <row r="72" ht="12.75" spans="1:14">
      <c r="A72" s="21">
        <v>45500</v>
      </c>
      <c r="B72" s="27">
        <v>2809</v>
      </c>
      <c r="C72" s="27">
        <v>1595128.23</v>
      </c>
      <c r="D72" s="22">
        <v>1446.59</v>
      </c>
      <c r="E72" s="41">
        <f t="shared" si="10"/>
        <v>0.132404490139329</v>
      </c>
      <c r="F72" s="23">
        <f t="shared" si="11"/>
        <v>0.193709582833977</v>
      </c>
      <c r="G72" s="23">
        <f t="shared" si="12"/>
        <v>0.150796017947723</v>
      </c>
      <c r="H72" s="24">
        <f t="shared" si="13"/>
        <v>0.51498398006408</v>
      </c>
      <c r="I72" s="42"/>
      <c r="J72" s="42"/>
      <c r="K72" s="26"/>
      <c r="L72" s="39"/>
      <c r="M72" s="39"/>
      <c r="N72" s="39"/>
    </row>
    <row r="73" ht="12.75" spans="1:14">
      <c r="A73" s="21">
        <v>45502</v>
      </c>
      <c r="B73" s="27">
        <v>2814</v>
      </c>
      <c r="C73" s="27">
        <v>1630949.13</v>
      </c>
      <c r="D73" s="22">
        <v>1480.86</v>
      </c>
      <c r="E73" s="41">
        <f t="shared" si="10"/>
        <v>0.132564257231003</v>
      </c>
      <c r="F73" s="23">
        <f t="shared" si="11"/>
        <v>0.193943324277686</v>
      </c>
      <c r="G73" s="23">
        <f t="shared" si="12"/>
        <v>0.150977977345008</v>
      </c>
      <c r="H73" s="24">
        <f t="shared" si="13"/>
        <v>0.526247334754797</v>
      </c>
      <c r="I73" s="42"/>
      <c r="J73" s="42"/>
      <c r="K73" s="26"/>
      <c r="L73" s="39"/>
      <c r="M73" s="39"/>
      <c r="N73" s="39"/>
    </row>
    <row r="74" ht="12.75" spans="1:14">
      <c r="A74" s="21">
        <v>45504</v>
      </c>
      <c r="B74" s="27">
        <v>2777</v>
      </c>
      <c r="C74" s="27">
        <v>1632101.24</v>
      </c>
      <c r="D74" s="22">
        <v>1457.02</v>
      </c>
      <c r="E74" s="41">
        <f t="shared" si="10"/>
        <v>0.130338066528275</v>
      </c>
      <c r="F74" s="23">
        <f t="shared" si="11"/>
        <v>0.190686376783832</v>
      </c>
      <c r="G74" s="23">
        <f t="shared" si="12"/>
        <v>0.148442559604942</v>
      </c>
      <c r="H74" s="24">
        <f t="shared" si="13"/>
        <v>0.52467410875045</v>
      </c>
      <c r="I74" s="42"/>
      <c r="J74" s="42"/>
      <c r="K74" s="26"/>
      <c r="L74" s="39"/>
      <c r="M74" s="39"/>
      <c r="N74" s="39"/>
    </row>
    <row r="75" ht="12.75" spans="1:14">
      <c r="A75" s="21">
        <v>45506</v>
      </c>
      <c r="B75" s="27">
        <v>2750</v>
      </c>
      <c r="C75" s="27">
        <v>1625458.23</v>
      </c>
      <c r="D75" s="22">
        <v>1431.25</v>
      </c>
      <c r="E75" s="41">
        <f t="shared" si="10"/>
        <v>0.128556056466613</v>
      </c>
      <c r="F75" s="23">
        <f t="shared" si="11"/>
        <v>0.188079271652523</v>
      </c>
      <c r="G75" s="23">
        <f t="shared" si="12"/>
        <v>0.146413021022386</v>
      </c>
      <c r="H75" s="24">
        <f t="shared" si="13"/>
        <v>0.520454545454546</v>
      </c>
      <c r="I75" s="42"/>
      <c r="J75" s="42"/>
      <c r="K75" s="26"/>
      <c r="L75" s="39"/>
      <c r="M75" s="39"/>
      <c r="N75" s="39"/>
    </row>
    <row r="76" ht="12.75" spans="1:14">
      <c r="A76" s="21">
        <v>45507</v>
      </c>
      <c r="B76" s="27">
        <v>2714</v>
      </c>
      <c r="C76" s="27">
        <v>1612576.07</v>
      </c>
      <c r="D76" s="22">
        <v>1410.61</v>
      </c>
      <c r="E76" s="41">
        <f t="shared" si="10"/>
        <v>0.127714322338915</v>
      </c>
      <c r="F76" s="23">
        <f t="shared" si="11"/>
        <v>0.186847803093097</v>
      </c>
      <c r="G76" s="23">
        <f t="shared" si="12"/>
        <v>0.145454366565169</v>
      </c>
      <c r="H76" s="24">
        <f t="shared" si="13"/>
        <v>0.519753131908622</v>
      </c>
      <c r="I76" s="42"/>
      <c r="J76" s="42"/>
      <c r="K76" s="26"/>
      <c r="L76" s="39"/>
      <c r="M76" s="39"/>
      <c r="N76" s="39"/>
    </row>
    <row r="77" ht="12.75" spans="1:14">
      <c r="A77" s="21">
        <v>45508</v>
      </c>
      <c r="B77" s="27">
        <v>2690</v>
      </c>
      <c r="C77" s="27">
        <v>1595132.2</v>
      </c>
      <c r="D77" s="22">
        <v>1403.94</v>
      </c>
      <c r="E77" s="41">
        <f t="shared" si="10"/>
        <v>0.128500471622352</v>
      </c>
      <c r="F77" s="23">
        <f t="shared" si="11"/>
        <v>0.187997950263934</v>
      </c>
      <c r="G77" s="23">
        <f t="shared" si="12"/>
        <v>0.146349715214827</v>
      </c>
      <c r="H77" s="24">
        <f t="shared" si="13"/>
        <v>0.521910780669145</v>
      </c>
      <c r="I77" s="42"/>
      <c r="J77" s="42"/>
      <c r="K77" s="26"/>
      <c r="L77" s="39"/>
      <c r="M77" s="39"/>
      <c r="N77" s="39"/>
    </row>
    <row r="78" ht="12.75" spans="1:14">
      <c r="A78" s="21">
        <v>45510</v>
      </c>
      <c r="B78" s="27">
        <v>2647</v>
      </c>
      <c r="C78" s="27">
        <v>1569123.42</v>
      </c>
      <c r="D78" s="22">
        <v>1374.73</v>
      </c>
      <c r="E78" s="41">
        <f t="shared" si="10"/>
        <v>0.127912551327543</v>
      </c>
      <c r="F78" s="23">
        <f t="shared" si="11"/>
        <v>0.187137814818926</v>
      </c>
      <c r="G78" s="23">
        <f t="shared" si="12"/>
        <v>0.145680130374958</v>
      </c>
      <c r="H78" s="24">
        <f t="shared" si="13"/>
        <v>0.519353985644125</v>
      </c>
      <c r="I78" s="42"/>
      <c r="J78" s="42"/>
      <c r="K78" s="26"/>
      <c r="L78" s="39"/>
      <c r="M78" s="39"/>
      <c r="N78" s="39"/>
    </row>
    <row r="79" ht="12.75" spans="1:14">
      <c r="A79" s="21">
        <v>45511</v>
      </c>
      <c r="B79" s="27">
        <v>2636</v>
      </c>
      <c r="C79" s="27">
        <v>1558159.3</v>
      </c>
      <c r="D79" s="22">
        <v>1363.13</v>
      </c>
      <c r="E79" s="41">
        <f t="shared" si="10"/>
        <v>0.127725695312411</v>
      </c>
      <c r="F79" s="23">
        <f t="shared" si="11"/>
        <v>0.186864441909117</v>
      </c>
      <c r="G79" s="23">
        <f t="shared" si="12"/>
        <v>0.145467319291423</v>
      </c>
      <c r="H79" s="24">
        <f t="shared" si="13"/>
        <v>0.517120637329287</v>
      </c>
      <c r="I79" s="42"/>
      <c r="J79" s="42"/>
      <c r="K79" s="26"/>
      <c r="L79" s="39"/>
      <c r="M79" s="39"/>
      <c r="N79" s="39"/>
    </row>
    <row r="80" ht="12.75" spans="1:14">
      <c r="A80" s="21">
        <v>45514</v>
      </c>
      <c r="B80" s="27">
        <v>2639</v>
      </c>
      <c r="C80" s="27">
        <v>1569488.18</v>
      </c>
      <c r="D80" s="22">
        <v>1353.43</v>
      </c>
      <c r="E80" s="41">
        <f t="shared" si="10"/>
        <v>0.125901413287483</v>
      </c>
      <c r="F80" s="23">
        <f t="shared" si="11"/>
        <v>0.184195492316482</v>
      </c>
      <c r="G80" s="23">
        <f t="shared" si="12"/>
        <v>0.143389636996183</v>
      </c>
      <c r="H80" s="24">
        <f t="shared" si="13"/>
        <v>0.512857142857143</v>
      </c>
      <c r="I80" s="42"/>
      <c r="J80" s="42"/>
      <c r="K80" s="26"/>
      <c r="L80" s="39"/>
      <c r="M80" s="39"/>
      <c r="N80" s="39"/>
    </row>
    <row r="81" ht="12.75" spans="1:14">
      <c r="A81" s="21">
        <v>45515</v>
      </c>
      <c r="B81" s="27">
        <v>2628</v>
      </c>
      <c r="C81" s="27">
        <v>1578403.88</v>
      </c>
      <c r="D81" s="22">
        <v>1345.3</v>
      </c>
      <c r="E81" s="41">
        <f t="shared" si="10"/>
        <v>0.124438239470116</v>
      </c>
      <c r="F81" s="23">
        <f t="shared" si="11"/>
        <v>0.182054848978197</v>
      </c>
      <c r="G81" s="23">
        <f t="shared" si="12"/>
        <v>0.14172322232254</v>
      </c>
      <c r="H81" s="24">
        <f t="shared" si="13"/>
        <v>0.511910197869102</v>
      </c>
      <c r="I81" s="42"/>
      <c r="J81" s="42"/>
      <c r="K81" s="26"/>
      <c r="L81" s="39"/>
      <c r="M81" s="39"/>
      <c r="N81" s="39"/>
    </row>
    <row r="82" ht="12.75" spans="1:14">
      <c r="A82" s="21">
        <v>45520</v>
      </c>
      <c r="B82" s="27">
        <v>2619</v>
      </c>
      <c r="C82" s="27">
        <v>1620669.44</v>
      </c>
      <c r="D82" s="22">
        <v>1331.52</v>
      </c>
      <c r="E82" s="41">
        <f t="shared" si="10"/>
        <v>0.119951617030553</v>
      </c>
      <c r="F82" s="23">
        <f t="shared" si="11"/>
        <v>0.175490858888534</v>
      </c>
      <c r="G82" s="23">
        <f t="shared" si="12"/>
        <v>0.136613389587947</v>
      </c>
      <c r="H82" s="24">
        <f t="shared" si="13"/>
        <v>0.508407789232531</v>
      </c>
      <c r="I82" s="42"/>
      <c r="J82" s="42"/>
      <c r="K82" s="26"/>
      <c r="L82" s="39"/>
      <c r="M82" s="39"/>
      <c r="N82" s="39"/>
    </row>
    <row r="83" ht="12.75" spans="1:14">
      <c r="A83" s="21">
        <v>45521</v>
      </c>
      <c r="B83" s="27">
        <v>2646</v>
      </c>
      <c r="C83" s="27">
        <v>1665103.6</v>
      </c>
      <c r="D83" s="22">
        <v>1355.12</v>
      </c>
      <c r="E83" s="41">
        <f t="shared" si="10"/>
        <v>0.118819946098249</v>
      </c>
      <c r="F83" s="23">
        <f t="shared" si="11"/>
        <v>0.173835208812232</v>
      </c>
      <c r="G83" s="23">
        <f t="shared" si="12"/>
        <v>0.135324524912444</v>
      </c>
      <c r="H83" s="24">
        <f t="shared" si="13"/>
        <v>0.512139077853364</v>
      </c>
      <c r="I83" s="42"/>
      <c r="J83" s="42"/>
      <c r="K83" s="26"/>
      <c r="L83" s="39"/>
      <c r="M83" s="39"/>
      <c r="N83" s="39"/>
    </row>
    <row r="84" ht="12.75" spans="1:14">
      <c r="A84" s="21">
        <v>45535</v>
      </c>
      <c r="B84" s="27">
        <v>2597</v>
      </c>
      <c r="C84" s="27">
        <v>1615972.11</v>
      </c>
      <c r="D84" s="22">
        <v>1262.44</v>
      </c>
      <c r="E84" s="41">
        <f t="shared" si="10"/>
        <v>0.114059047714629</v>
      </c>
      <c r="F84" s="23">
        <f t="shared" si="11"/>
        <v>0.166869949259211</v>
      </c>
      <c r="G84" s="23">
        <f t="shared" si="12"/>
        <v>0.129902318178004</v>
      </c>
      <c r="H84" s="24">
        <f t="shared" si="13"/>
        <v>0.486114747785907</v>
      </c>
      <c r="I84" s="42"/>
      <c r="J84" s="42"/>
      <c r="K84" s="26"/>
      <c r="L84" s="39"/>
      <c r="M84" s="39"/>
      <c r="N84" s="39"/>
    </row>
    <row r="85" ht="12.75" spans="1:14">
      <c r="A85" s="21">
        <v>45546</v>
      </c>
      <c r="B85" s="27">
        <v>2639</v>
      </c>
      <c r="C85" s="27">
        <v>1711111.42</v>
      </c>
      <c r="D85" s="22">
        <v>1333.86</v>
      </c>
      <c r="E85" s="41">
        <f t="shared" si="10"/>
        <v>0.113811150883442</v>
      </c>
      <c r="F85" s="23">
        <f t="shared" si="11"/>
        <v>0.166507272799336</v>
      </c>
      <c r="G85" s="23">
        <f t="shared" si="12"/>
        <v>0.12961998745821</v>
      </c>
      <c r="H85" s="24">
        <f t="shared" si="13"/>
        <v>0.505441455096628</v>
      </c>
      <c r="I85" s="42"/>
      <c r="J85" s="42"/>
      <c r="K85" s="26"/>
      <c r="L85" s="39"/>
      <c r="M85" s="39"/>
      <c r="N85" s="39"/>
    </row>
    <row r="86" ht="12.75" spans="1:14">
      <c r="A86" s="21">
        <v>45547</v>
      </c>
      <c r="B86" s="27">
        <v>2620</v>
      </c>
      <c r="C86" s="27">
        <v>1696186.19</v>
      </c>
      <c r="D86" s="22">
        <v>1316.01</v>
      </c>
      <c r="E86" s="41">
        <f t="shared" si="10"/>
        <v>0.11327616103277</v>
      </c>
      <c r="F86" s="23">
        <f t="shared" si="11"/>
        <v>0.165724575319175</v>
      </c>
      <c r="G86" s="23">
        <f t="shared" si="12"/>
        <v>0.129010685318691</v>
      </c>
      <c r="H86" s="24">
        <f t="shared" si="13"/>
        <v>0.502293893129771</v>
      </c>
      <c r="I86" s="42"/>
      <c r="J86" s="42"/>
      <c r="K86" s="26"/>
      <c r="L86" s="39"/>
      <c r="M86" s="39"/>
      <c r="N86" s="39"/>
    </row>
    <row r="87" ht="12.75" spans="1:14">
      <c r="A87" s="21">
        <v>45550</v>
      </c>
      <c r="B87" s="27">
        <v>2625</v>
      </c>
      <c r="C87" s="27">
        <v>1716836.13</v>
      </c>
      <c r="D87" s="22">
        <v>1303.38</v>
      </c>
      <c r="E87" s="41">
        <f t="shared" si="10"/>
        <v>0.110839629172995</v>
      </c>
      <c r="F87" s="23">
        <f t="shared" si="11"/>
        <v>0.162159895831176</v>
      </c>
      <c r="G87" s="23">
        <f t="shared" si="12"/>
        <v>0.12623570917045</v>
      </c>
      <c r="H87" s="24">
        <f t="shared" si="13"/>
        <v>0.496525714285714</v>
      </c>
      <c r="I87" s="42"/>
      <c r="J87" s="42"/>
      <c r="K87" s="26"/>
      <c r="L87" s="39"/>
      <c r="M87" s="39"/>
      <c r="N87" s="39"/>
    </row>
    <row r="88" ht="12.75" spans="1:14">
      <c r="A88" s="21">
        <v>45551</v>
      </c>
      <c r="B88" s="27">
        <v>2609</v>
      </c>
      <c r="C88" s="27">
        <v>1710490.17</v>
      </c>
      <c r="D88" s="22">
        <v>1313.84</v>
      </c>
      <c r="E88" s="41">
        <f t="shared" si="10"/>
        <v>0.112143666981728</v>
      </c>
      <c r="F88" s="23">
        <f t="shared" si="11"/>
        <v>0.164067721008885</v>
      </c>
      <c r="G88" s="23">
        <f t="shared" si="12"/>
        <v>0.127720883189875</v>
      </c>
      <c r="H88" s="24">
        <f t="shared" si="13"/>
        <v>0.503579915676504</v>
      </c>
      <c r="I88" s="42"/>
      <c r="J88" s="42"/>
      <c r="K88" s="26"/>
      <c r="L88" s="39"/>
      <c r="M88" s="39"/>
      <c r="N88" s="39"/>
    </row>
    <row r="89" ht="12.75" spans="1:14">
      <c r="A89" s="21">
        <v>45554</v>
      </c>
      <c r="B89" s="27">
        <v>2609</v>
      </c>
      <c r="C89" s="27">
        <v>1754763.01</v>
      </c>
      <c r="D89" s="22">
        <v>1320.91</v>
      </c>
      <c r="E89" s="41">
        <f t="shared" si="10"/>
        <v>0.10990251042504</v>
      </c>
      <c r="F89" s="23">
        <f t="shared" si="11"/>
        <v>0.160788878265675</v>
      </c>
      <c r="G89" s="23">
        <f t="shared" si="12"/>
        <v>0.125168420777231</v>
      </c>
      <c r="H89" s="24">
        <f t="shared" si="13"/>
        <v>0.506289766193944</v>
      </c>
      <c r="I89" s="42"/>
      <c r="J89" s="42"/>
      <c r="K89" s="26"/>
      <c r="L89" s="39"/>
      <c r="M89" s="39"/>
      <c r="N89" s="39"/>
    </row>
    <row r="90" ht="12.75" spans="1:14">
      <c r="A90" s="21">
        <v>45555</v>
      </c>
      <c r="B90" s="27">
        <v>2637</v>
      </c>
      <c r="C90" s="27">
        <v>1773150.16</v>
      </c>
      <c r="D90" s="22">
        <v>1337.23</v>
      </c>
      <c r="E90" s="41">
        <f t="shared" si="10"/>
        <v>0.110106625148995</v>
      </c>
      <c r="F90" s="23">
        <f t="shared" si="11"/>
        <v>0.161087500902913</v>
      </c>
      <c r="G90" s="23">
        <f t="shared" si="12"/>
        <v>0.12540088787517</v>
      </c>
      <c r="H90" s="24">
        <f t="shared" si="13"/>
        <v>0.507102768297308</v>
      </c>
      <c r="I90" s="42"/>
      <c r="J90" s="42"/>
      <c r="K90" s="26"/>
      <c r="L90" s="39"/>
      <c r="M90" s="39"/>
      <c r="N90" s="39"/>
    </row>
    <row r="91" ht="12.75" spans="1:14">
      <c r="A91" s="21">
        <v>45556</v>
      </c>
      <c r="B91" s="27">
        <v>2628</v>
      </c>
      <c r="C91" s="27">
        <v>1807863.8</v>
      </c>
      <c r="D91" s="22">
        <v>1347.51</v>
      </c>
      <c r="E91" s="41">
        <f t="shared" si="10"/>
        <v>0.108822611526377</v>
      </c>
      <c r="F91" s="23">
        <f t="shared" si="11"/>
        <v>0.159208971383796</v>
      </c>
      <c r="G91" s="23">
        <f t="shared" si="12"/>
        <v>0.123938519483603</v>
      </c>
      <c r="H91" s="24">
        <f t="shared" si="13"/>
        <v>0.512751141552511</v>
      </c>
      <c r="I91" s="42"/>
      <c r="J91" s="42"/>
      <c r="K91" s="26"/>
      <c r="L91" s="39"/>
      <c r="M91" s="39"/>
      <c r="N91" s="39"/>
    </row>
    <row r="92" ht="12.75" spans="1:14">
      <c r="A92" s="21">
        <v>45557</v>
      </c>
      <c r="B92" s="27">
        <v>2692</v>
      </c>
      <c r="C92" s="27">
        <v>1829467.16</v>
      </c>
      <c r="D92" s="22">
        <v>1410.51</v>
      </c>
      <c r="E92" s="41">
        <f t="shared" si="10"/>
        <v>0.112565267364515</v>
      </c>
      <c r="F92" s="23">
        <f t="shared" si="11"/>
        <v>0.164684528144249</v>
      </c>
      <c r="G92" s="23">
        <f t="shared" si="12"/>
        <v>0.128201045598435</v>
      </c>
      <c r="H92" s="24">
        <f t="shared" si="13"/>
        <v>0.523963595839525</v>
      </c>
      <c r="I92" s="42"/>
      <c r="J92" s="42"/>
      <c r="K92" s="26"/>
      <c r="L92" s="39"/>
      <c r="M92" s="39"/>
      <c r="N92" s="39"/>
    </row>
    <row r="93" ht="12.75" spans="1:14">
      <c r="A93" s="21">
        <v>45558</v>
      </c>
      <c r="B93" s="27">
        <v>2772</v>
      </c>
      <c r="C93" s="27">
        <v>1885540.81</v>
      </c>
      <c r="D93" s="22">
        <v>1466.49</v>
      </c>
      <c r="E93" s="41">
        <f t="shared" si="10"/>
        <v>0.113552323484316</v>
      </c>
      <c r="F93" s="23">
        <f t="shared" si="11"/>
        <v>0.166128604768836</v>
      </c>
      <c r="G93" s="23">
        <f t="shared" si="12"/>
        <v>0.129325207869672</v>
      </c>
      <c r="H93" s="24">
        <f t="shared" si="13"/>
        <v>0.529036796536797</v>
      </c>
      <c r="I93" s="42"/>
      <c r="J93" s="42"/>
      <c r="K93" s="26"/>
      <c r="L93" s="39"/>
      <c r="M93" s="39"/>
      <c r="N93" s="39"/>
    </row>
    <row r="94" ht="12.75" spans="1:14">
      <c r="A94" s="21">
        <v>45559</v>
      </c>
      <c r="B94" s="27">
        <v>2735</v>
      </c>
      <c r="C94" s="27">
        <v>1867153.85</v>
      </c>
      <c r="D94" s="22">
        <v>1464.3</v>
      </c>
      <c r="E94" s="41">
        <f t="shared" si="10"/>
        <v>0.114499295277676</v>
      </c>
      <c r="F94" s="23">
        <f t="shared" si="11"/>
        <v>0.167514037474737</v>
      </c>
      <c r="G94" s="23">
        <f t="shared" si="12"/>
        <v>0.130403717936795</v>
      </c>
      <c r="H94" s="24">
        <f t="shared" si="13"/>
        <v>0.535393053016453</v>
      </c>
      <c r="I94" s="42"/>
      <c r="J94" s="42"/>
      <c r="K94" s="26"/>
      <c r="L94" s="39"/>
      <c r="M94" s="39"/>
      <c r="N94" s="39"/>
    </row>
    <row r="95" ht="12.75" spans="1:14">
      <c r="A95" s="21">
        <v>45563</v>
      </c>
      <c r="B95" s="27">
        <v>2838</v>
      </c>
      <c r="C95" s="27">
        <v>1928628.59</v>
      </c>
      <c r="D95" s="22">
        <v>1594</v>
      </c>
      <c r="E95" s="41">
        <f t="shared" si="10"/>
        <v>0.120668127189798</v>
      </c>
      <c r="F95" s="23">
        <f t="shared" si="11"/>
        <v>0.176539123066718</v>
      </c>
      <c r="G95" s="23">
        <f t="shared" si="12"/>
        <v>0.137429425952874</v>
      </c>
      <c r="H95" s="24">
        <f t="shared" si="13"/>
        <v>0.561663143058492</v>
      </c>
      <c r="I95" s="42"/>
      <c r="J95" s="42"/>
      <c r="K95" s="26"/>
      <c r="L95" s="39"/>
      <c r="M95" s="39"/>
      <c r="N95" s="39"/>
    </row>
    <row r="96" ht="12.75" spans="1:14">
      <c r="A96" s="21">
        <v>45564</v>
      </c>
      <c r="B96" s="27">
        <v>2961</v>
      </c>
      <c r="C96" s="27">
        <v>2031935.34</v>
      </c>
      <c r="D96" s="22">
        <v>1715.29</v>
      </c>
      <c r="E96" s="41">
        <f t="shared" si="10"/>
        <v>0.123248183674979</v>
      </c>
      <c r="F96" s="23">
        <f t="shared" si="11"/>
        <v>0.180313781047777</v>
      </c>
      <c r="G96" s="23">
        <f t="shared" si="12"/>
        <v>0.140367862886818</v>
      </c>
      <c r="H96" s="24">
        <f t="shared" si="13"/>
        <v>0.579294157379264</v>
      </c>
      <c r="I96" s="42"/>
      <c r="J96" s="42"/>
      <c r="K96" s="26"/>
      <c r="L96" s="39"/>
      <c r="M96" s="39"/>
      <c r="N96" s="39"/>
    </row>
    <row r="97" ht="12.75" spans="1:14">
      <c r="A97" s="21">
        <v>45565</v>
      </c>
      <c r="B97" s="27">
        <v>3188</v>
      </c>
      <c r="C97" s="27">
        <v>2188311.52</v>
      </c>
      <c r="D97" s="22">
        <v>1890.25</v>
      </c>
      <c r="E97" s="41">
        <f t="shared" si="10"/>
        <v>0.126113899907633</v>
      </c>
      <c r="F97" s="23">
        <f t="shared" si="11"/>
        <v>0.184506363152537</v>
      </c>
      <c r="G97" s="23">
        <f t="shared" si="12"/>
        <v>0.143631638881104</v>
      </c>
      <c r="H97" s="24">
        <f t="shared" si="13"/>
        <v>0.592926599749059</v>
      </c>
      <c r="I97" s="42"/>
      <c r="J97" s="42"/>
      <c r="K97" s="26"/>
      <c r="L97" s="39"/>
      <c r="M97" s="39"/>
      <c r="N97" s="39"/>
    </row>
    <row r="98" ht="12.75" spans="1:14">
      <c r="A98" s="21">
        <v>45566</v>
      </c>
      <c r="B98" s="27">
        <v>3224</v>
      </c>
      <c r="C98" s="27">
        <v>2253218.16</v>
      </c>
      <c r="D98" s="22">
        <v>1975.83</v>
      </c>
      <c r="E98" s="41">
        <f t="shared" si="10"/>
        <v>0.128026298172566</v>
      </c>
      <c r="F98" s="23">
        <f t="shared" si="11"/>
        <v>0.18730422801137</v>
      </c>
      <c r="G98" s="23">
        <f t="shared" si="12"/>
        <v>0.145809677124207</v>
      </c>
      <c r="H98" s="24">
        <f t="shared" si="13"/>
        <v>0.612850496277916</v>
      </c>
      <c r="I98" s="42"/>
      <c r="J98" s="42"/>
      <c r="K98" s="26"/>
      <c r="L98" s="39"/>
      <c r="M98" s="39"/>
      <c r="N98" s="39"/>
    </row>
    <row r="99" ht="12.75" spans="1:14">
      <c r="A99" s="21">
        <v>45567</v>
      </c>
      <c r="B99" s="27">
        <v>3365</v>
      </c>
      <c r="C99" s="27">
        <v>2360326.2</v>
      </c>
      <c r="D99" s="22">
        <v>2128.75</v>
      </c>
      <c r="E99" s="41">
        <f t="shared" si="10"/>
        <v>0.13167565567844</v>
      </c>
      <c r="F99" s="23">
        <f t="shared" si="11"/>
        <v>0.192643288033662</v>
      </c>
      <c r="G99" s="23">
        <f t="shared" si="12"/>
        <v>0.149965945385007</v>
      </c>
      <c r="H99" s="24">
        <f t="shared" si="13"/>
        <v>0.632615156017831</v>
      </c>
      <c r="I99" s="42"/>
      <c r="J99" s="42"/>
      <c r="K99" s="26"/>
      <c r="L99" s="39"/>
      <c r="M99" s="39"/>
      <c r="N99" s="39"/>
    </row>
    <row r="100" ht="12.75" spans="1:14">
      <c r="A100" s="21">
        <v>45568</v>
      </c>
      <c r="B100" s="27">
        <v>3372</v>
      </c>
      <c r="C100" s="27">
        <v>2384921.91</v>
      </c>
      <c r="D100" s="22">
        <v>2162.25</v>
      </c>
      <c r="E100" s="41">
        <f t="shared" si="10"/>
        <v>0.132368484970646</v>
      </c>
      <c r="F100" s="23">
        <f t="shared" si="11"/>
        <v>0.193656906778973</v>
      </c>
      <c r="G100" s="23">
        <f t="shared" si="12"/>
        <v>0.150755011513144</v>
      </c>
      <c r="H100" s="24">
        <f t="shared" si="13"/>
        <v>0.641236654804271</v>
      </c>
      <c r="I100" s="42"/>
      <c r="J100" s="42"/>
      <c r="K100" s="26"/>
      <c r="L100" s="39"/>
      <c r="M100" s="39"/>
      <c r="N100" s="39"/>
    </row>
    <row r="101" ht="12.75" spans="1:14">
      <c r="A101" s="21">
        <v>45570</v>
      </c>
      <c r="B101" s="27">
        <v>3528</v>
      </c>
      <c r="C101" s="27">
        <v>2475316.65</v>
      </c>
      <c r="D101" s="22">
        <v>2226.62</v>
      </c>
      <c r="E101" s="41">
        <f t="shared" si="10"/>
        <v>0.131331286443696</v>
      </c>
      <c r="F101" s="23">
        <f t="shared" si="11"/>
        <v>0.192139471125846</v>
      </c>
      <c r="G101" s="23">
        <f t="shared" si="12"/>
        <v>0.149573741848341</v>
      </c>
      <c r="H101" s="24">
        <f t="shared" si="13"/>
        <v>0.631128117913832</v>
      </c>
      <c r="I101" s="42"/>
      <c r="J101" s="42"/>
      <c r="K101" s="26"/>
      <c r="L101" s="39"/>
      <c r="M101" s="39"/>
      <c r="N101" s="39"/>
    </row>
    <row r="102" ht="12.75" spans="1:14">
      <c r="A102" s="21">
        <v>45571</v>
      </c>
      <c r="B102" s="27">
        <v>3538</v>
      </c>
      <c r="C102" s="27">
        <v>2479304.08</v>
      </c>
      <c r="D102" s="22">
        <v>2221.25</v>
      </c>
      <c r="E102" s="41">
        <f t="shared" si="10"/>
        <v>0.130803842342727</v>
      </c>
      <c r="F102" s="23">
        <f t="shared" si="11"/>
        <v>0.191367813180866</v>
      </c>
      <c r="G102" s="23">
        <f t="shared" si="12"/>
        <v>0.148973033594169</v>
      </c>
      <c r="H102" s="24">
        <f t="shared" si="13"/>
        <v>0.627826455624647</v>
      </c>
      <c r="I102" s="42"/>
      <c r="J102" s="42"/>
      <c r="K102" s="26"/>
      <c r="L102" s="39"/>
      <c r="M102" s="39"/>
      <c r="N102" s="39"/>
    </row>
    <row r="103" ht="12.75" spans="1:14">
      <c r="A103" s="21">
        <v>45572</v>
      </c>
      <c r="B103" s="27">
        <v>3587</v>
      </c>
      <c r="C103" s="27">
        <v>2537405</v>
      </c>
      <c r="D103" s="22">
        <v>2228.72</v>
      </c>
      <c r="E103" s="41">
        <f t="shared" si="10"/>
        <v>0.128238542920819</v>
      </c>
      <c r="F103" s="23">
        <f t="shared" si="11"/>
        <v>0.187614744985527</v>
      </c>
      <c r="G103" s="23">
        <f t="shared" si="12"/>
        <v>0.146051403540231</v>
      </c>
      <c r="H103" s="24">
        <f t="shared" si="13"/>
        <v>0.621332589908001</v>
      </c>
      <c r="I103" s="42"/>
      <c r="J103" s="42"/>
      <c r="K103" s="26"/>
      <c r="L103" s="39"/>
      <c r="M103" s="39"/>
      <c r="N103" s="39"/>
    </row>
    <row r="104" ht="12.75" spans="1:14">
      <c r="A104" s="21">
        <v>45573</v>
      </c>
      <c r="B104" s="27">
        <v>3624</v>
      </c>
      <c r="C104" s="27">
        <v>2598976.56</v>
      </c>
      <c r="D104" s="22">
        <v>2238.03</v>
      </c>
      <c r="E104" s="41">
        <f t="shared" si="10"/>
        <v>0.125723480938204</v>
      </c>
      <c r="F104" s="23">
        <f t="shared" si="11"/>
        <v>0.183935174852058</v>
      </c>
      <c r="G104" s="23">
        <f t="shared" si="12"/>
        <v>0.14318698911236</v>
      </c>
      <c r="H104" s="24">
        <f t="shared" si="13"/>
        <v>0.617557947019868</v>
      </c>
      <c r="I104" s="42"/>
      <c r="J104" s="42"/>
      <c r="K104" s="26"/>
      <c r="L104" s="39"/>
      <c r="M104" s="39"/>
      <c r="N104" s="39"/>
    </row>
    <row r="105" ht="12.75" spans="1:14">
      <c r="A105" s="21">
        <v>45575</v>
      </c>
      <c r="B105" s="27">
        <v>3621</v>
      </c>
      <c r="C105" s="27">
        <v>2604844.64</v>
      </c>
      <c r="D105" s="29">
        <v>2145.83</v>
      </c>
      <c r="E105" s="41">
        <f t="shared" si="10"/>
        <v>0.120272501165367</v>
      </c>
      <c r="F105" s="23">
        <f t="shared" si="11"/>
        <v>0.175960316773441</v>
      </c>
      <c r="G105" s="23">
        <f t="shared" si="12"/>
        <v>0.136978845847789</v>
      </c>
      <c r="H105" s="24">
        <f t="shared" si="13"/>
        <v>0.592607014636841</v>
      </c>
      <c r="I105" s="42"/>
      <c r="J105" s="42"/>
      <c r="K105" s="26"/>
      <c r="L105" s="39"/>
      <c r="M105" s="39"/>
      <c r="N105" s="39"/>
    </row>
    <row r="106" ht="12.75" spans="1:14">
      <c r="A106" s="21">
        <v>45576</v>
      </c>
      <c r="B106" s="27">
        <v>3593</v>
      </c>
      <c r="C106" s="27">
        <v>2580754.63</v>
      </c>
      <c r="D106" s="22">
        <v>2106.9</v>
      </c>
      <c r="E106" s="41">
        <f t="shared" si="10"/>
        <v>0.119192811445232</v>
      </c>
      <c r="F106" s="23">
        <f t="shared" si="11"/>
        <v>0.174380715922614</v>
      </c>
      <c r="G106" s="23">
        <f t="shared" si="12"/>
        <v>0.135749182788447</v>
      </c>
      <c r="H106" s="24">
        <f t="shared" si="13"/>
        <v>0.586390203172836</v>
      </c>
      <c r="I106" s="42"/>
      <c r="J106" s="42"/>
      <c r="K106" s="26"/>
      <c r="L106" s="39"/>
      <c r="M106" s="39"/>
      <c r="N106" s="39"/>
    </row>
    <row r="107" ht="12.75" spans="1:14">
      <c r="A107" s="21">
        <v>45577</v>
      </c>
      <c r="B107" s="27">
        <v>3595</v>
      </c>
      <c r="C107" s="27">
        <v>2592564.04</v>
      </c>
      <c r="D107" s="22">
        <v>2090.15</v>
      </c>
      <c r="E107" s="41">
        <f t="shared" si="10"/>
        <v>0.117706600605322</v>
      </c>
      <c r="F107" s="23">
        <f t="shared" si="11"/>
        <v>0.172206369104772</v>
      </c>
      <c r="G107" s="23">
        <f t="shared" si="12"/>
        <v>0.134056531155157</v>
      </c>
      <c r="H107" s="24">
        <f t="shared" si="13"/>
        <v>0.581404728789986</v>
      </c>
      <c r="I107" s="42"/>
      <c r="J107" s="42"/>
      <c r="K107" s="26"/>
      <c r="L107" s="39"/>
      <c r="M107" s="39"/>
      <c r="N107" s="39"/>
    </row>
    <row r="108" ht="12.75" spans="1:14">
      <c r="A108" s="21">
        <v>45579</v>
      </c>
      <c r="B108" s="27">
        <v>3560</v>
      </c>
      <c r="C108" s="27">
        <v>2592456.15</v>
      </c>
      <c r="D108" s="22">
        <v>2085.21</v>
      </c>
      <c r="E108" s="41">
        <f t="shared" si="10"/>
        <v>0.1174332919768</v>
      </c>
      <c r="F108" s="23">
        <f t="shared" si="11"/>
        <v>0.171806514837291</v>
      </c>
      <c r="G108" s="23">
        <f t="shared" si="12"/>
        <v>0.133745258834947</v>
      </c>
      <c r="H108" s="24">
        <f t="shared" si="13"/>
        <v>0.585733146067416</v>
      </c>
      <c r="I108" s="42"/>
      <c r="J108" s="42"/>
      <c r="K108" s="26"/>
      <c r="L108" s="39"/>
      <c r="M108" s="39"/>
      <c r="N108" s="39"/>
    </row>
    <row r="109" ht="12.75" spans="1:14">
      <c r="A109" s="21">
        <v>45580</v>
      </c>
      <c r="B109" s="27">
        <v>3579</v>
      </c>
      <c r="C109" s="27">
        <v>2632226.32</v>
      </c>
      <c r="D109" s="22">
        <v>2120.7</v>
      </c>
      <c r="E109" s="41">
        <f t="shared" si="10"/>
        <v>0.117627499446932</v>
      </c>
      <c r="F109" s="23">
        <f t="shared" si="11"/>
        <v>0.17209064302647</v>
      </c>
      <c r="G109" s="23">
        <f t="shared" si="12"/>
        <v>0.133966442520794</v>
      </c>
      <c r="H109" s="24">
        <f t="shared" si="13"/>
        <v>0.592539815590947</v>
      </c>
      <c r="I109" s="42"/>
      <c r="J109" s="42"/>
      <c r="K109" s="26"/>
      <c r="L109" s="39"/>
      <c r="M109" s="39"/>
      <c r="N109" s="39"/>
    </row>
    <row r="110" ht="12.75" spans="1:14">
      <c r="A110" s="21">
        <v>45581</v>
      </c>
      <c r="B110" s="27">
        <v>3573</v>
      </c>
      <c r="C110" s="27">
        <v>2660323.03</v>
      </c>
      <c r="D110" s="22">
        <v>2132.65</v>
      </c>
      <c r="E110" s="41">
        <f t="shared" si="10"/>
        <v>0.117041012120998</v>
      </c>
      <c r="F110" s="23">
        <f t="shared" si="11"/>
        <v>0.171232604034556</v>
      </c>
      <c r="G110" s="23">
        <f t="shared" si="12"/>
        <v>0.133298489695065</v>
      </c>
      <c r="H110" s="24">
        <f t="shared" si="13"/>
        <v>0.596879373075847</v>
      </c>
      <c r="I110" s="42"/>
      <c r="J110" s="42"/>
      <c r="K110" s="26"/>
      <c r="L110" s="39"/>
      <c r="M110" s="39"/>
      <c r="N110" s="39"/>
    </row>
    <row r="111" ht="12.75" spans="1:14">
      <c r="A111" s="21">
        <v>45582</v>
      </c>
      <c r="B111" s="27">
        <v>3584</v>
      </c>
      <c r="C111" s="27">
        <v>2664168.98</v>
      </c>
      <c r="D111" s="22">
        <v>2139.31</v>
      </c>
      <c r="E111" s="41">
        <f t="shared" si="10"/>
        <v>0.117237030512982</v>
      </c>
      <c r="F111" s="23">
        <f t="shared" si="11"/>
        <v>0.171519381627212</v>
      </c>
      <c r="G111" s="23">
        <f t="shared" si="12"/>
        <v>0.133521735847251</v>
      </c>
      <c r="H111" s="24">
        <f t="shared" si="13"/>
        <v>0.596905691964286</v>
      </c>
      <c r="I111" s="42"/>
      <c r="J111" s="42"/>
      <c r="K111" s="26"/>
      <c r="L111" s="39"/>
      <c r="M111" s="39"/>
      <c r="N111" s="39"/>
    </row>
    <row r="112" ht="12.75" spans="1:14">
      <c r="A112" s="21">
        <v>45583</v>
      </c>
      <c r="B112" s="27">
        <v>3585</v>
      </c>
      <c r="C112" s="27">
        <v>2658863.01</v>
      </c>
      <c r="D112" s="22">
        <v>2154.5</v>
      </c>
      <c r="E112" s="41">
        <f t="shared" si="10"/>
        <v>0.118305079583622</v>
      </c>
      <c r="F112" s="23">
        <f t="shared" si="11"/>
        <v>0.173081952048368</v>
      </c>
      <c r="G112" s="23">
        <f t="shared" si="12"/>
        <v>0.134738141323046</v>
      </c>
      <c r="H112" s="24">
        <f t="shared" si="13"/>
        <v>0.600976290097629</v>
      </c>
      <c r="I112" s="42"/>
      <c r="J112" s="42"/>
      <c r="K112" s="26"/>
      <c r="L112" s="39"/>
      <c r="M112" s="39"/>
      <c r="N112" s="39"/>
    </row>
    <row r="113" ht="12.75" spans="1:14">
      <c r="A113" s="21">
        <v>45584</v>
      </c>
      <c r="B113" s="27">
        <v>3612</v>
      </c>
      <c r="C113" s="27">
        <v>2679306.74</v>
      </c>
      <c r="D113" s="22">
        <v>2182.84</v>
      </c>
      <c r="E113" s="41">
        <f t="shared" si="10"/>
        <v>0.118946679468287</v>
      </c>
      <c r="F113" s="23">
        <f t="shared" si="11"/>
        <v>0.174020621468671</v>
      </c>
      <c r="G113" s="23">
        <f t="shared" si="12"/>
        <v>0.135468862068402</v>
      </c>
      <c r="H113" s="24">
        <f t="shared" si="13"/>
        <v>0.604330011074197</v>
      </c>
      <c r="I113" s="42"/>
      <c r="J113" s="42"/>
      <c r="K113" s="26"/>
      <c r="L113" s="39"/>
      <c r="M113" s="39"/>
      <c r="N113" s="39"/>
    </row>
    <row r="114" ht="12.75" spans="1:14">
      <c r="A114" s="21">
        <v>45585</v>
      </c>
      <c r="B114" s="27">
        <v>3600</v>
      </c>
      <c r="C114" s="27">
        <v>2687302.92</v>
      </c>
      <c r="D114" s="22">
        <v>2194.43</v>
      </c>
      <c r="E114" s="41">
        <f t="shared" si="10"/>
        <v>0.119222428411606</v>
      </c>
      <c r="F114" s="23">
        <f t="shared" si="11"/>
        <v>0.174424045950131</v>
      </c>
      <c r="G114" s="23">
        <f t="shared" si="12"/>
        <v>0.135782913673163</v>
      </c>
      <c r="H114" s="24">
        <f t="shared" si="13"/>
        <v>0.609563888888889</v>
      </c>
      <c r="I114" s="42"/>
      <c r="J114" s="42"/>
      <c r="K114" s="26"/>
      <c r="L114" s="39"/>
      <c r="M114" s="39"/>
      <c r="N114" s="39"/>
    </row>
    <row r="115" ht="12.75" spans="1:14">
      <c r="A115" s="21">
        <v>45586</v>
      </c>
      <c r="B115" s="27">
        <v>3606</v>
      </c>
      <c r="C115" s="27">
        <v>2693401.73</v>
      </c>
      <c r="D115" s="22">
        <v>2213.63</v>
      </c>
      <c r="E115" s="41">
        <f t="shared" si="10"/>
        <v>0.119993232498592</v>
      </c>
      <c r="F115" s="23">
        <f t="shared" si="11"/>
        <v>0.175551742888351</v>
      </c>
      <c r="G115" s="23">
        <f t="shared" si="12"/>
        <v>0.13666078561552</v>
      </c>
      <c r="H115" s="24">
        <f t="shared" si="13"/>
        <v>0.613874098724348</v>
      </c>
      <c r="I115" s="42"/>
      <c r="J115" s="42"/>
      <c r="K115" s="26"/>
      <c r="L115" s="39"/>
      <c r="M115" s="39"/>
      <c r="N115" s="39"/>
    </row>
    <row r="116" ht="12.75" spans="1:14">
      <c r="A116" s="21">
        <v>45587</v>
      </c>
      <c r="B116" s="27">
        <v>3722</v>
      </c>
      <c r="C116" s="27">
        <v>2802001.56</v>
      </c>
      <c r="D116" s="22">
        <v>2309.75</v>
      </c>
      <c r="E116" s="41">
        <f t="shared" si="10"/>
        <v>0.120350932281422</v>
      </c>
      <c r="F116" s="23">
        <f t="shared" si="11"/>
        <v>0.176075062570629</v>
      </c>
      <c r="G116" s="23">
        <f t="shared" si="12"/>
        <v>0.137068171368184</v>
      </c>
      <c r="H116" s="24">
        <f t="shared" si="13"/>
        <v>0.620566899516389</v>
      </c>
      <c r="I116" s="42"/>
      <c r="J116" s="42"/>
      <c r="K116" s="26"/>
      <c r="L116" s="39"/>
      <c r="M116" s="39"/>
      <c r="N116" s="39"/>
    </row>
    <row r="117" ht="12.75" spans="1:14">
      <c r="A117" s="21">
        <v>45588</v>
      </c>
      <c r="B117" s="27">
        <v>3795</v>
      </c>
      <c r="C117" s="27">
        <v>2807067</v>
      </c>
      <c r="D117" s="22">
        <v>2310.46</v>
      </c>
      <c r="E117" s="41">
        <f t="shared" si="10"/>
        <v>0.12017068349277</v>
      </c>
      <c r="F117" s="23">
        <f t="shared" si="11"/>
        <v>0.175811356123669</v>
      </c>
      <c r="G117" s="23">
        <f t="shared" si="12"/>
        <v>0.13686288528204</v>
      </c>
      <c r="H117" s="24">
        <f t="shared" si="13"/>
        <v>0.608816864295125</v>
      </c>
      <c r="I117" s="42"/>
      <c r="J117" s="42"/>
      <c r="K117" s="26"/>
      <c r="L117" s="39"/>
      <c r="M117" s="39"/>
      <c r="N117" s="39"/>
    </row>
    <row r="118" ht="12.75" spans="1:14">
      <c r="A118" s="21">
        <v>45589</v>
      </c>
      <c r="B118" s="27">
        <v>3800</v>
      </c>
      <c r="C118" s="27">
        <v>2808821.96</v>
      </c>
      <c r="D118" s="22">
        <v>2299.55</v>
      </c>
      <c r="E118" s="41">
        <f t="shared" si="10"/>
        <v>0.119528508670589</v>
      </c>
      <c r="F118" s="23">
        <f t="shared" si="11"/>
        <v>0.174871845561902</v>
      </c>
      <c r="G118" s="23">
        <f t="shared" si="12"/>
        <v>0.136131509737983</v>
      </c>
      <c r="H118" s="24">
        <f t="shared" si="13"/>
        <v>0.605144736842105</v>
      </c>
      <c r="I118" s="42"/>
      <c r="J118" s="42"/>
      <c r="K118" s="26"/>
      <c r="L118" s="39"/>
      <c r="M118" s="39"/>
      <c r="N118" s="39"/>
    </row>
    <row r="119" ht="12.75" spans="1:14">
      <c r="A119" s="21">
        <v>45590</v>
      </c>
      <c r="B119" s="27">
        <v>3800</v>
      </c>
      <c r="C119" s="27">
        <v>2801438.61</v>
      </c>
      <c r="D119" s="22">
        <v>2267.38</v>
      </c>
      <c r="E119" s="41">
        <f t="shared" si="10"/>
        <v>0.118166958511363</v>
      </c>
      <c r="F119" s="23">
        <f t="shared" si="11"/>
        <v>0.172879879027583</v>
      </c>
      <c r="G119" s="23">
        <f t="shared" si="12"/>
        <v>0.134580834666229</v>
      </c>
      <c r="H119" s="24">
        <f t="shared" si="13"/>
        <v>0.596678947368421</v>
      </c>
      <c r="I119" s="42"/>
      <c r="J119" s="42"/>
      <c r="K119" s="26"/>
      <c r="L119" s="39"/>
      <c r="M119" s="39"/>
      <c r="N119" s="39"/>
    </row>
    <row r="120" ht="12.75" spans="1:14">
      <c r="A120" s="21">
        <v>45591</v>
      </c>
      <c r="B120" s="27">
        <v>3783</v>
      </c>
      <c r="C120" s="27">
        <v>2795940.08</v>
      </c>
      <c r="D120" s="22">
        <v>2221.02</v>
      </c>
      <c r="E120" s="41">
        <f t="shared" si="10"/>
        <v>0.115978494074165</v>
      </c>
      <c r="F120" s="23">
        <f t="shared" si="11"/>
        <v>0.169678125576997</v>
      </c>
      <c r="G120" s="23">
        <f t="shared" si="12"/>
        <v>0.132088383525015</v>
      </c>
      <c r="H120" s="24">
        <f t="shared" si="13"/>
        <v>0.58710547184774</v>
      </c>
      <c r="I120" s="42"/>
      <c r="J120" s="42"/>
      <c r="K120" s="26"/>
      <c r="L120" s="39"/>
      <c r="M120" s="39"/>
      <c r="N120" s="39"/>
    </row>
    <row r="121" ht="12.75" spans="1:14">
      <c r="A121" s="21">
        <v>45592</v>
      </c>
      <c r="B121" s="27">
        <v>3838</v>
      </c>
      <c r="C121" s="27">
        <v>2854647.18</v>
      </c>
      <c r="D121" s="22">
        <v>2199.81</v>
      </c>
      <c r="E121" s="41">
        <f t="shared" si="10"/>
        <v>0.112508565769588</v>
      </c>
      <c r="F121" s="23">
        <f t="shared" si="11"/>
        <v>0.164601572934137</v>
      </c>
      <c r="G121" s="23">
        <f t="shared" si="12"/>
        <v>0.128136467918953</v>
      </c>
      <c r="H121" s="24">
        <f t="shared" si="13"/>
        <v>0.573165711307973</v>
      </c>
      <c r="I121" s="42"/>
      <c r="J121" s="42"/>
      <c r="K121" s="26"/>
      <c r="L121" s="39"/>
      <c r="M121" s="39"/>
      <c r="N121" s="39"/>
    </row>
    <row r="122" ht="12.75" spans="1:14">
      <c r="A122" s="21">
        <v>45594</v>
      </c>
      <c r="B122" s="27">
        <v>3877</v>
      </c>
      <c r="C122" s="27">
        <v>2881701.27</v>
      </c>
      <c r="D122" s="22">
        <v>2199.07</v>
      </c>
      <c r="E122" s="41">
        <f t="shared" si="10"/>
        <v>0.111414817122942</v>
      </c>
      <c r="F122" s="23">
        <f t="shared" si="11"/>
        <v>0.163001403681236</v>
      </c>
      <c r="G122" s="23">
        <f t="shared" si="12"/>
        <v>0.12689079309043</v>
      </c>
      <c r="H122" s="24">
        <f t="shared" si="13"/>
        <v>0.567209182357493</v>
      </c>
      <c r="I122" s="42"/>
      <c r="J122" s="42"/>
      <c r="K122" s="26"/>
      <c r="L122" s="39"/>
      <c r="M122" s="39"/>
      <c r="N122" s="39"/>
    </row>
    <row r="123" ht="12.75" spans="1:14">
      <c r="A123" s="21">
        <v>45595</v>
      </c>
      <c r="B123" s="27">
        <v>3910</v>
      </c>
      <c r="C123" s="27">
        <v>2909770.86</v>
      </c>
      <c r="D123" s="22">
        <v>2181.88</v>
      </c>
      <c r="E123" s="41">
        <f t="shared" si="10"/>
        <v>0.109477513978541</v>
      </c>
      <c r="F123" s="23">
        <f t="shared" si="11"/>
        <v>0.160167102642577</v>
      </c>
      <c r="G123" s="23">
        <f t="shared" si="12"/>
        <v>0.124684390577752</v>
      </c>
      <c r="H123" s="24">
        <f t="shared" si="13"/>
        <v>0.55802557544757</v>
      </c>
      <c r="I123" s="42"/>
      <c r="J123" s="42"/>
      <c r="K123" s="26"/>
      <c r="L123" s="39"/>
      <c r="M123" s="39"/>
      <c r="N123" s="39"/>
    </row>
    <row r="124" ht="12.75" spans="1:14">
      <c r="A124" s="21">
        <v>45596</v>
      </c>
      <c r="B124" s="27">
        <v>3975</v>
      </c>
      <c r="C124" s="27">
        <v>3018601.59</v>
      </c>
      <c r="D124" s="22">
        <v>2187.5</v>
      </c>
      <c r="E124" s="41">
        <f t="shared" si="10"/>
        <v>0.105802302979639</v>
      </c>
      <c r="F124" s="23">
        <f t="shared" si="11"/>
        <v>0.154790218605828</v>
      </c>
      <c r="G124" s="23">
        <f t="shared" si="12"/>
        <v>0.120498677667496</v>
      </c>
      <c r="H124" s="24">
        <f t="shared" si="13"/>
        <v>0.550314465408805</v>
      </c>
      <c r="I124" s="42"/>
      <c r="J124" s="42"/>
      <c r="K124" s="26"/>
      <c r="L124" s="39"/>
      <c r="M124" s="39"/>
      <c r="N124" s="39"/>
    </row>
    <row r="125" ht="12.75" spans="1:14">
      <c r="A125" s="21">
        <v>45597</v>
      </c>
      <c r="B125" s="27">
        <v>3955</v>
      </c>
      <c r="C125" s="27">
        <v>3056722.13</v>
      </c>
      <c r="D125" s="22">
        <v>2193.05</v>
      </c>
      <c r="E125" s="41">
        <f t="shared" si="10"/>
        <v>0.104747924862899</v>
      </c>
      <c r="F125" s="23">
        <f t="shared" si="11"/>
        <v>0.153247648977501</v>
      </c>
      <c r="G125" s="23">
        <f t="shared" si="12"/>
        <v>0.11929784209728</v>
      </c>
      <c r="H125" s="24">
        <f t="shared" si="13"/>
        <v>0.554500632111252</v>
      </c>
      <c r="I125" s="42"/>
      <c r="J125" s="42"/>
      <c r="K125" s="26"/>
      <c r="L125" s="39"/>
      <c r="M125" s="39"/>
      <c r="N125" s="39"/>
    </row>
    <row r="126" ht="12.75" spans="1:14">
      <c r="A126" s="21">
        <v>45598</v>
      </c>
      <c r="B126" s="27">
        <v>3992</v>
      </c>
      <c r="C126" s="27">
        <v>3045907.71</v>
      </c>
      <c r="D126" s="22">
        <v>2276.99</v>
      </c>
      <c r="E126" s="41">
        <f t="shared" si="10"/>
        <v>0.109143339736974</v>
      </c>
      <c r="F126" s="23">
        <f t="shared" si="11"/>
        <v>0.159678201149437</v>
      </c>
      <c r="G126" s="23">
        <f t="shared" si="12"/>
        <v>0.124303798160713</v>
      </c>
      <c r="H126" s="24">
        <f t="shared" si="13"/>
        <v>0.570388276553106</v>
      </c>
      <c r="I126" s="42"/>
      <c r="J126" s="42"/>
      <c r="K126" s="26"/>
      <c r="L126" s="39"/>
      <c r="M126" s="39"/>
      <c r="N126" s="39"/>
    </row>
    <row r="127" ht="12.75" spans="1:14">
      <c r="A127" s="21">
        <v>45599</v>
      </c>
      <c r="B127" s="27">
        <v>3999</v>
      </c>
      <c r="C127" s="27">
        <v>3050520.82</v>
      </c>
      <c r="D127" s="22">
        <v>2334.87</v>
      </c>
      <c r="E127" s="41">
        <f t="shared" si="10"/>
        <v>0.111748465299771</v>
      </c>
      <c r="F127" s="23">
        <f t="shared" si="11"/>
        <v>0.16348953553446</v>
      </c>
      <c r="G127" s="23">
        <f t="shared" si="12"/>
        <v>0.127270786370178</v>
      </c>
      <c r="H127" s="24">
        <f t="shared" si="13"/>
        <v>0.583863465866467</v>
      </c>
      <c r="I127" s="42"/>
      <c r="J127" s="42"/>
      <c r="K127" s="26"/>
      <c r="L127" s="39"/>
      <c r="M127" s="39"/>
      <c r="N127" s="39"/>
    </row>
    <row r="128" ht="12.75" spans="1:14">
      <c r="A128" s="21">
        <v>45600</v>
      </c>
      <c r="B128" s="27">
        <v>3968</v>
      </c>
      <c r="C128" s="27">
        <v>3030410.71</v>
      </c>
      <c r="D128" s="22">
        <v>2362.85</v>
      </c>
      <c r="E128" s="41">
        <f t="shared" si="10"/>
        <v>0.113838067843946</v>
      </c>
      <c r="F128" s="23">
        <f t="shared" si="11"/>
        <v>0.16654665268128</v>
      </c>
      <c r="G128" s="23">
        <f t="shared" si="12"/>
        <v>0.129650643295146</v>
      </c>
      <c r="H128" s="24">
        <f t="shared" si="13"/>
        <v>0.595476310483871</v>
      </c>
      <c r="I128" s="42"/>
      <c r="J128" s="42"/>
      <c r="K128" s="26"/>
      <c r="L128" s="39"/>
      <c r="M128" s="39"/>
      <c r="N128" s="39"/>
    </row>
    <row r="129" ht="12.75" spans="1:14">
      <c r="A129" s="21">
        <v>45602</v>
      </c>
      <c r="B129" s="27">
        <v>3958</v>
      </c>
      <c r="C129" s="27">
        <v>2997399.69</v>
      </c>
      <c r="D129" s="22">
        <v>2404.97</v>
      </c>
      <c r="E129" s="41">
        <f t="shared" si="10"/>
        <v>0.117143409726582</v>
      </c>
      <c r="F129" s="23">
        <f t="shared" si="11"/>
        <v>0.171382413134232</v>
      </c>
      <c r="G129" s="23">
        <f t="shared" si="12"/>
        <v>0.133415110748877</v>
      </c>
      <c r="H129" s="24">
        <f t="shared" si="13"/>
        <v>0.607622536634664</v>
      </c>
      <c r="I129" s="42"/>
      <c r="J129" s="42"/>
      <c r="K129" s="26"/>
      <c r="L129" s="39"/>
      <c r="M129" s="39"/>
      <c r="N129" s="39"/>
    </row>
    <row r="130" ht="12.75" spans="1:14">
      <c r="A130" s="21">
        <v>45603</v>
      </c>
      <c r="B130" s="27">
        <v>3972</v>
      </c>
      <c r="C130" s="27">
        <v>3001636.01</v>
      </c>
      <c r="D130" s="22">
        <v>2415.97</v>
      </c>
      <c r="E130" s="41">
        <f t="shared" ref="E130:E193" si="14">(D130*0.8)*182.5/C130</f>
        <v>0.117513122452179</v>
      </c>
      <c r="F130" s="23">
        <f t="shared" ref="F130:F193" si="15">(D130*0.8)*267/C130</f>
        <v>0.171923307916339</v>
      </c>
      <c r="G130" s="23">
        <f t="shared" ref="G130:G193" si="16">E130*0.7+F130*0.3</f>
        <v>0.133836178091427</v>
      </c>
      <c r="H130" s="24">
        <f t="shared" ref="H130:H193" si="17">D130/B130</f>
        <v>0.608250251762336</v>
      </c>
      <c r="I130" s="42"/>
      <c r="J130" s="42"/>
      <c r="K130" s="26"/>
      <c r="L130" s="39"/>
      <c r="M130" s="39"/>
      <c r="N130" s="39"/>
    </row>
    <row r="131" ht="12.75" spans="1:14">
      <c r="A131" s="21">
        <v>45604</v>
      </c>
      <c r="B131" s="27">
        <v>4025</v>
      </c>
      <c r="C131" s="27">
        <v>3026425.81</v>
      </c>
      <c r="D131" s="22">
        <v>2538.69</v>
      </c>
      <c r="E131" s="41">
        <f t="shared" si="14"/>
        <v>0.122470783448678</v>
      </c>
      <c r="F131" s="23">
        <f t="shared" si="15"/>
        <v>0.179176433867381</v>
      </c>
      <c r="G131" s="23">
        <f t="shared" si="16"/>
        <v>0.139482478574289</v>
      </c>
      <c r="H131" s="24">
        <f t="shared" si="17"/>
        <v>0.630730434782609</v>
      </c>
      <c r="I131" s="42"/>
      <c r="J131" s="42"/>
      <c r="K131" s="26"/>
      <c r="L131" s="39"/>
      <c r="M131" s="39"/>
      <c r="N131" s="39"/>
    </row>
    <row r="132" ht="12.75" spans="1:14">
      <c r="A132" s="21">
        <v>45606</v>
      </c>
      <c r="B132" s="27">
        <v>4006</v>
      </c>
      <c r="C132" s="27">
        <v>2993819.07</v>
      </c>
      <c r="D132" s="22">
        <v>2516.6</v>
      </c>
      <c r="E132" s="41">
        <f t="shared" si="14"/>
        <v>0.122727389801816</v>
      </c>
      <c r="F132" s="23">
        <f t="shared" si="15"/>
        <v>0.179551852477177</v>
      </c>
      <c r="G132" s="23">
        <f t="shared" si="16"/>
        <v>0.139774728604424</v>
      </c>
      <c r="H132" s="24">
        <f t="shared" si="17"/>
        <v>0.628207688467299</v>
      </c>
      <c r="I132" s="42"/>
      <c r="J132" s="42"/>
      <c r="K132" s="26"/>
      <c r="L132" s="39"/>
      <c r="M132" s="39"/>
      <c r="N132" s="39"/>
    </row>
    <row r="133" ht="12.75" spans="1:14">
      <c r="A133" s="21">
        <v>45607</v>
      </c>
      <c r="B133" s="27">
        <v>4005</v>
      </c>
      <c r="C133" s="27">
        <v>2996795.59</v>
      </c>
      <c r="D133" s="22">
        <v>2518.88</v>
      </c>
      <c r="E133" s="41">
        <f t="shared" si="14"/>
        <v>0.122716571402856</v>
      </c>
      <c r="F133" s="23">
        <f t="shared" si="15"/>
        <v>0.179536025011302</v>
      </c>
      <c r="G133" s="23">
        <f t="shared" si="16"/>
        <v>0.13976240748539</v>
      </c>
      <c r="H133" s="24">
        <f t="shared" si="17"/>
        <v>0.628933832709114</v>
      </c>
      <c r="I133" s="42"/>
      <c r="J133" s="42"/>
      <c r="K133" s="26"/>
      <c r="L133" s="39"/>
      <c r="M133" s="39"/>
      <c r="N133" s="39"/>
    </row>
    <row r="134" ht="12.75" spans="1:14">
      <c r="A134" s="21">
        <v>45608</v>
      </c>
      <c r="B134" s="27">
        <v>4005</v>
      </c>
      <c r="C134" s="27">
        <v>2994772.37</v>
      </c>
      <c r="D134" s="22">
        <v>2514.31</v>
      </c>
      <c r="E134" s="41">
        <f t="shared" si="14"/>
        <v>0.12257668184644</v>
      </c>
      <c r="F134" s="23">
        <f t="shared" si="15"/>
        <v>0.17933136467397</v>
      </c>
      <c r="G134" s="23">
        <f t="shared" si="16"/>
        <v>0.139603086694699</v>
      </c>
      <c r="H134" s="24">
        <f t="shared" si="17"/>
        <v>0.627792759051186</v>
      </c>
      <c r="I134" s="42"/>
      <c r="J134" s="42"/>
      <c r="K134" s="26"/>
      <c r="L134" s="39"/>
      <c r="M134" s="39"/>
      <c r="N134" s="39"/>
    </row>
    <row r="135" ht="12.75" spans="1:14">
      <c r="A135" s="21">
        <v>45609</v>
      </c>
      <c r="B135" s="27">
        <v>4028</v>
      </c>
      <c r="C135" s="27">
        <v>3008957.23</v>
      </c>
      <c r="D135" s="22">
        <v>2527.25</v>
      </c>
      <c r="E135" s="41">
        <f t="shared" si="14"/>
        <v>0.12262670147691</v>
      </c>
      <c r="F135" s="23">
        <f t="shared" si="15"/>
        <v>0.179404544078548</v>
      </c>
      <c r="G135" s="23">
        <f t="shared" si="16"/>
        <v>0.139660054257401</v>
      </c>
      <c r="H135" s="24">
        <f t="shared" si="17"/>
        <v>0.627420556107249</v>
      </c>
      <c r="I135" s="42"/>
      <c r="J135" s="42"/>
      <c r="K135" s="26"/>
      <c r="L135" s="39"/>
      <c r="M135" s="39"/>
      <c r="N135" s="39"/>
    </row>
    <row r="136" ht="12.75" spans="1:14">
      <c r="A136" s="21">
        <v>45610</v>
      </c>
      <c r="B136" s="27">
        <v>4021</v>
      </c>
      <c r="C136" s="27">
        <v>3024423.95</v>
      </c>
      <c r="D136" s="22">
        <v>2525.74</v>
      </c>
      <c r="E136" s="41">
        <f t="shared" si="14"/>
        <v>0.121926702769299</v>
      </c>
      <c r="F136" s="23">
        <f t="shared" si="15"/>
        <v>0.17838043638029</v>
      </c>
      <c r="G136" s="23">
        <f t="shared" si="16"/>
        <v>0.138862822852596</v>
      </c>
      <c r="H136" s="24">
        <f t="shared" si="17"/>
        <v>0.62813727928376</v>
      </c>
      <c r="I136" s="42"/>
      <c r="J136" s="42"/>
      <c r="K136" s="26"/>
      <c r="L136" s="39"/>
      <c r="M136" s="39"/>
      <c r="N136" s="39"/>
    </row>
    <row r="137" ht="12.75" spans="1:14">
      <c r="A137" s="21">
        <v>45611</v>
      </c>
      <c r="B137" s="27">
        <v>3986</v>
      </c>
      <c r="C137" s="27">
        <v>3039868.85</v>
      </c>
      <c r="D137" s="22">
        <v>2536.73</v>
      </c>
      <c r="E137" s="41">
        <f t="shared" si="14"/>
        <v>0.121835052193123</v>
      </c>
      <c r="F137" s="23">
        <f t="shared" si="15"/>
        <v>0.178246350331857</v>
      </c>
      <c r="G137" s="23">
        <f t="shared" si="16"/>
        <v>0.138758441634744</v>
      </c>
      <c r="H137" s="24">
        <f t="shared" si="17"/>
        <v>0.636409934771701</v>
      </c>
      <c r="I137" s="42"/>
      <c r="J137" s="42"/>
      <c r="K137" s="26"/>
      <c r="L137" s="39"/>
      <c r="M137" s="39"/>
      <c r="N137" s="39"/>
    </row>
    <row r="138" ht="12.75" spans="1:14">
      <c r="A138" s="21">
        <v>45612</v>
      </c>
      <c r="B138" s="27">
        <v>3972</v>
      </c>
      <c r="C138" s="27">
        <v>3038207.7</v>
      </c>
      <c r="D138" s="22">
        <v>2537.63</v>
      </c>
      <c r="E138" s="41">
        <f t="shared" si="14"/>
        <v>0.121944915089248</v>
      </c>
      <c r="F138" s="23">
        <f t="shared" si="15"/>
        <v>0.178407081253859</v>
      </c>
      <c r="G138" s="23">
        <f t="shared" si="16"/>
        <v>0.138883564938631</v>
      </c>
      <c r="H138" s="24">
        <f t="shared" si="17"/>
        <v>0.638879657603223</v>
      </c>
      <c r="I138" s="42"/>
      <c r="J138" s="42"/>
      <c r="K138" s="26"/>
      <c r="L138" s="39"/>
      <c r="M138" s="39"/>
      <c r="N138" s="39"/>
    </row>
    <row r="139" ht="12.75" spans="1:14">
      <c r="A139" s="21">
        <v>45613</v>
      </c>
      <c r="B139" s="27">
        <v>3975</v>
      </c>
      <c r="C139" s="27">
        <v>3048712.45</v>
      </c>
      <c r="D139" s="22">
        <v>2557.01</v>
      </c>
      <c r="E139" s="41">
        <f t="shared" si="14"/>
        <v>0.122452827586282</v>
      </c>
      <c r="F139" s="23">
        <f t="shared" si="15"/>
        <v>0.179150164194724</v>
      </c>
      <c r="G139" s="23">
        <f t="shared" si="16"/>
        <v>0.139462028568814</v>
      </c>
      <c r="H139" s="24">
        <f t="shared" si="17"/>
        <v>0.643272955974843</v>
      </c>
      <c r="I139" s="42"/>
      <c r="J139" s="42"/>
      <c r="K139" s="26"/>
      <c r="L139" s="39"/>
      <c r="M139" s="39"/>
      <c r="N139" s="39"/>
    </row>
    <row r="140" ht="12.75" spans="1:14">
      <c r="A140" s="21">
        <v>45614</v>
      </c>
      <c r="B140" s="27">
        <v>4010</v>
      </c>
      <c r="C140" s="27">
        <v>3073387.03</v>
      </c>
      <c r="D140" s="22">
        <v>2580.9</v>
      </c>
      <c r="E140" s="41">
        <f t="shared" si="14"/>
        <v>0.12260460408073</v>
      </c>
      <c r="F140" s="23">
        <f t="shared" si="15"/>
        <v>0.179372215285232</v>
      </c>
      <c r="G140" s="23">
        <f t="shared" si="16"/>
        <v>0.13963488744208</v>
      </c>
      <c r="H140" s="24">
        <f t="shared" si="17"/>
        <v>0.643615960099751</v>
      </c>
      <c r="I140" s="42"/>
      <c r="J140" s="42"/>
      <c r="K140" s="26"/>
      <c r="L140" s="39"/>
      <c r="M140" s="39"/>
      <c r="N140" s="39"/>
    </row>
    <row r="141" ht="12.75" spans="1:14">
      <c r="A141" s="21">
        <v>45615</v>
      </c>
      <c r="B141" s="27">
        <v>4020</v>
      </c>
      <c r="C141" s="27">
        <v>3082615.04</v>
      </c>
      <c r="D141" s="22">
        <v>2618.04</v>
      </c>
      <c r="E141" s="41">
        <f t="shared" si="14"/>
        <v>0.123996618144055</v>
      </c>
      <c r="F141" s="23">
        <f t="shared" si="15"/>
        <v>0.181408750928562</v>
      </c>
      <c r="G141" s="23">
        <f t="shared" si="16"/>
        <v>0.141220257979407</v>
      </c>
      <c r="H141" s="24">
        <f t="shared" si="17"/>
        <v>0.651253731343284</v>
      </c>
      <c r="I141" s="42"/>
      <c r="J141" s="42"/>
      <c r="K141" s="26"/>
      <c r="L141" s="39"/>
      <c r="M141" s="39"/>
      <c r="N141" s="39"/>
    </row>
    <row r="142" ht="12.75" spans="1:14">
      <c r="A142" s="21">
        <v>45616</v>
      </c>
      <c r="B142" s="27">
        <v>4002</v>
      </c>
      <c r="C142" s="27">
        <v>3079994.27</v>
      </c>
      <c r="D142" s="22">
        <v>2623.13</v>
      </c>
      <c r="E142" s="41">
        <f t="shared" si="14"/>
        <v>0.124343406651857</v>
      </c>
      <c r="F142" s="23">
        <f t="shared" si="15"/>
        <v>0.181916107266005</v>
      </c>
      <c r="G142" s="23">
        <f t="shared" si="16"/>
        <v>0.141615216836101</v>
      </c>
      <c r="H142" s="24">
        <f t="shared" si="17"/>
        <v>0.655454772613693</v>
      </c>
      <c r="I142" s="42"/>
      <c r="J142" s="42"/>
      <c r="K142" s="26"/>
      <c r="L142" s="39"/>
      <c r="M142" s="39"/>
      <c r="N142" s="39"/>
    </row>
    <row r="143" ht="12.75" spans="1:14">
      <c r="A143" s="21">
        <v>45617</v>
      </c>
      <c r="B143" s="27">
        <v>3991</v>
      </c>
      <c r="C143" s="27">
        <v>3088471.85</v>
      </c>
      <c r="D143" s="22">
        <v>2635.16</v>
      </c>
      <c r="E143" s="41">
        <f t="shared" si="14"/>
        <v>0.124570784091816</v>
      </c>
      <c r="F143" s="23">
        <f t="shared" si="15"/>
        <v>0.182248763575423</v>
      </c>
      <c r="G143" s="23">
        <f t="shared" si="16"/>
        <v>0.141874177936898</v>
      </c>
      <c r="H143" s="24">
        <f t="shared" si="17"/>
        <v>0.660275620145327</v>
      </c>
      <c r="I143" s="42"/>
      <c r="J143" s="42"/>
      <c r="K143" s="26"/>
      <c r="L143" s="39"/>
      <c r="M143" s="39"/>
      <c r="N143" s="39"/>
    </row>
    <row r="144" ht="12.75" spans="1:14">
      <c r="A144" s="21">
        <v>45618</v>
      </c>
      <c r="B144" s="27">
        <v>3990</v>
      </c>
      <c r="C144" s="27">
        <v>3113627.28</v>
      </c>
      <c r="D144" s="22">
        <v>2644.04</v>
      </c>
      <c r="E144" s="41">
        <f t="shared" si="14"/>
        <v>0.123980748267339</v>
      </c>
      <c r="F144" s="23">
        <f t="shared" si="15"/>
        <v>0.181385533081532</v>
      </c>
      <c r="G144" s="23">
        <f t="shared" si="16"/>
        <v>0.141202183711597</v>
      </c>
      <c r="H144" s="24">
        <f t="shared" si="17"/>
        <v>0.662666666666667</v>
      </c>
      <c r="I144" s="42"/>
      <c r="J144" s="42"/>
      <c r="K144" s="26"/>
      <c r="L144" s="39"/>
      <c r="M144" s="39"/>
      <c r="N144" s="39"/>
    </row>
    <row r="145" s="27" customFormat="1" ht="12.75" spans="1:14">
      <c r="A145" s="21">
        <v>45619</v>
      </c>
      <c r="B145" s="44">
        <v>3983</v>
      </c>
      <c r="C145" s="44">
        <v>3099283.75</v>
      </c>
      <c r="D145" s="29">
        <v>2650.75</v>
      </c>
      <c r="E145" s="41">
        <f t="shared" si="14"/>
        <v>0.124870625350131</v>
      </c>
      <c r="F145" s="23">
        <f t="shared" si="15"/>
        <v>0.182687435443754</v>
      </c>
      <c r="G145" s="23">
        <f t="shared" si="16"/>
        <v>0.142215668378218</v>
      </c>
      <c r="H145" s="24">
        <f t="shared" si="17"/>
        <v>0.665515942756716</v>
      </c>
      <c r="I145" s="59"/>
      <c r="J145" s="59"/>
      <c r="K145" s="26"/>
      <c r="L145" s="44"/>
      <c r="M145" s="44"/>
      <c r="N145" s="44"/>
    </row>
    <row r="146" ht="12.75" spans="1:14">
      <c r="A146" s="21">
        <v>45620</v>
      </c>
      <c r="B146" s="27">
        <v>3991</v>
      </c>
      <c r="C146" s="27">
        <v>3101664.06</v>
      </c>
      <c r="D146" s="29">
        <v>2662.37</v>
      </c>
      <c r="E146" s="41">
        <f t="shared" si="14"/>
        <v>0.12532176679379</v>
      </c>
      <c r="F146" s="23">
        <f t="shared" si="15"/>
        <v>0.183347461555846</v>
      </c>
      <c r="G146" s="23">
        <f t="shared" si="16"/>
        <v>0.142729475222407</v>
      </c>
      <c r="H146" s="24">
        <f t="shared" si="17"/>
        <v>0.667093460285643</v>
      </c>
      <c r="K146" s="26"/>
    </row>
    <row r="147" ht="12.75" spans="1:14">
      <c r="A147" s="21">
        <v>45622</v>
      </c>
      <c r="B147" s="27">
        <v>3962</v>
      </c>
      <c r="C147" s="27">
        <v>3070524.6</v>
      </c>
      <c r="D147" s="29">
        <v>2680.58</v>
      </c>
      <c r="E147" s="41">
        <f t="shared" si="14"/>
        <v>0.12745857173722</v>
      </c>
      <c r="F147" s="23">
        <f t="shared" si="15"/>
        <v>0.186473636459385</v>
      </c>
      <c r="G147" s="23">
        <f t="shared" si="16"/>
        <v>0.14516309115387</v>
      </c>
      <c r="H147" s="24">
        <f t="shared" si="17"/>
        <v>0.676572438162544</v>
      </c>
      <c r="K147" s="26"/>
    </row>
    <row r="148" ht="12.75" spans="1:14">
      <c r="A148" s="21">
        <v>45623</v>
      </c>
      <c r="B148" s="27">
        <v>3964</v>
      </c>
      <c r="C148" s="27">
        <v>3049574.53</v>
      </c>
      <c r="D148" s="29">
        <v>2688.5</v>
      </c>
      <c r="E148" s="41">
        <f t="shared" si="14"/>
        <v>0.128713365139497</v>
      </c>
      <c r="F148" s="23">
        <f t="shared" si="15"/>
        <v>0.188309416395867</v>
      </c>
      <c r="G148" s="23">
        <f t="shared" si="16"/>
        <v>0.146592180516408</v>
      </c>
      <c r="H148" s="24">
        <f t="shared" si="17"/>
        <v>0.678229061553986</v>
      </c>
      <c r="K148" s="26"/>
    </row>
    <row r="149" ht="12.75" spans="1:14">
      <c r="A149" s="21">
        <v>45624</v>
      </c>
      <c r="B149" s="27">
        <v>3946</v>
      </c>
      <c r="C149" s="27">
        <v>3040054.26</v>
      </c>
      <c r="D149" s="29">
        <v>2684.39</v>
      </c>
      <c r="E149" s="41">
        <f t="shared" si="14"/>
        <v>0.1289190608065</v>
      </c>
      <c r="F149" s="23">
        <f t="shared" si="15"/>
        <v>0.188610351974441</v>
      </c>
      <c r="G149" s="23">
        <f t="shared" si="16"/>
        <v>0.146826448156883</v>
      </c>
      <c r="H149" s="24">
        <f t="shared" si="17"/>
        <v>0.680281297516472</v>
      </c>
      <c r="K149" s="26"/>
    </row>
    <row r="150" ht="12.75" spans="1:14">
      <c r="A150" s="21">
        <v>45625</v>
      </c>
      <c r="B150" s="27">
        <v>3936</v>
      </c>
      <c r="C150" s="27">
        <v>3026574.11</v>
      </c>
      <c r="D150" s="29">
        <v>2680.51</v>
      </c>
      <c r="E150" s="41">
        <f t="shared" si="14"/>
        <v>0.129306088592689</v>
      </c>
      <c r="F150" s="23">
        <f t="shared" si="15"/>
        <v>0.189176578927387</v>
      </c>
      <c r="G150" s="23">
        <f t="shared" si="16"/>
        <v>0.147267235693099</v>
      </c>
      <c r="H150" s="24">
        <f t="shared" si="17"/>
        <v>0.681023882113821</v>
      </c>
      <c r="K150" s="26"/>
    </row>
    <row r="151" ht="12.75" spans="1:14">
      <c r="A151" s="21">
        <v>45626</v>
      </c>
      <c r="B151" s="27">
        <v>3945</v>
      </c>
      <c r="C151" s="27">
        <v>3038757.79</v>
      </c>
      <c r="D151" s="29">
        <v>2700.95</v>
      </c>
      <c r="E151" s="41">
        <f t="shared" si="14"/>
        <v>0.129769704350145</v>
      </c>
      <c r="F151" s="23">
        <f t="shared" si="15"/>
        <v>0.189854855131445</v>
      </c>
      <c r="G151" s="23">
        <f t="shared" si="16"/>
        <v>0.147795249584535</v>
      </c>
      <c r="H151" s="24">
        <f t="shared" si="17"/>
        <v>0.684651457541191</v>
      </c>
      <c r="K151" s="26"/>
    </row>
    <row r="152" ht="12.75" spans="1:14">
      <c r="A152" s="21">
        <v>45628</v>
      </c>
      <c r="B152" s="27">
        <v>3903</v>
      </c>
      <c r="C152" s="27">
        <v>3015861.87</v>
      </c>
      <c r="D152" s="29">
        <v>2700.97</v>
      </c>
      <c r="E152" s="41">
        <f t="shared" si="14"/>
        <v>0.130755862502416</v>
      </c>
      <c r="F152" s="23">
        <f t="shared" si="15"/>
        <v>0.191297618017234</v>
      </c>
      <c r="G152" s="23">
        <f t="shared" si="16"/>
        <v>0.148918389156861</v>
      </c>
      <c r="H152" s="24">
        <f t="shared" si="17"/>
        <v>0.692024084037919</v>
      </c>
      <c r="K152" s="26"/>
    </row>
    <row r="153" ht="12.75" spans="1:14">
      <c r="A153" s="21">
        <v>45629</v>
      </c>
      <c r="B153" s="27">
        <v>3912</v>
      </c>
      <c r="C153" s="27">
        <v>3026104.5</v>
      </c>
      <c r="D153" s="29">
        <v>2712.74</v>
      </c>
      <c r="E153" s="41">
        <f t="shared" si="14"/>
        <v>0.130881150997925</v>
      </c>
      <c r="F153" s="23">
        <f t="shared" si="15"/>
        <v>0.191480916802444</v>
      </c>
      <c r="G153" s="23">
        <f t="shared" si="16"/>
        <v>0.14906108073928</v>
      </c>
      <c r="H153" s="24">
        <f t="shared" si="17"/>
        <v>0.693440695296523</v>
      </c>
      <c r="K153" s="26"/>
    </row>
    <row r="154" ht="12.75" spans="1:14">
      <c r="A154" s="21">
        <v>45630</v>
      </c>
      <c r="B154" s="27">
        <v>3877</v>
      </c>
      <c r="C154" s="27">
        <v>3016568.47</v>
      </c>
      <c r="D154" s="29">
        <v>2709.67</v>
      </c>
      <c r="E154" s="41">
        <f t="shared" si="14"/>
        <v>0.131146308772497</v>
      </c>
      <c r="F154" s="23">
        <f t="shared" si="15"/>
        <v>0.191868846258941</v>
      </c>
      <c r="G154" s="23">
        <f t="shared" si="16"/>
        <v>0.149363070018431</v>
      </c>
      <c r="H154" s="24">
        <f t="shared" si="17"/>
        <v>0.698908950219242</v>
      </c>
      <c r="K154" s="26"/>
    </row>
    <row r="155" ht="12.75" spans="1:14">
      <c r="A155" s="21">
        <v>45631</v>
      </c>
      <c r="B155" s="27">
        <v>3858</v>
      </c>
      <c r="C155" s="27">
        <v>3003499.38</v>
      </c>
      <c r="D155" s="29">
        <v>2694.82</v>
      </c>
      <c r="E155" s="41">
        <f t="shared" si="14"/>
        <v>0.130995106115188</v>
      </c>
      <c r="F155" s="23">
        <f t="shared" si="15"/>
        <v>0.191647634700028</v>
      </c>
      <c r="G155" s="23">
        <f t="shared" si="16"/>
        <v>0.14919086469064</v>
      </c>
      <c r="H155" s="24">
        <f t="shared" si="17"/>
        <v>0.698501814411612</v>
      </c>
      <c r="K155" s="26"/>
    </row>
    <row r="156" ht="12.75" spans="1:14">
      <c r="A156" s="21">
        <v>45632</v>
      </c>
      <c r="B156" s="27">
        <v>3859</v>
      </c>
      <c r="C156" s="27">
        <v>2989373.13</v>
      </c>
      <c r="D156" s="29">
        <v>2693.92</v>
      </c>
      <c r="E156" s="41">
        <f t="shared" si="14"/>
        <v>0.131570166351231</v>
      </c>
      <c r="F156" s="23">
        <f t="shared" si="15"/>
        <v>0.192488955702897</v>
      </c>
      <c r="G156" s="23">
        <f t="shared" si="16"/>
        <v>0.149845803156731</v>
      </c>
      <c r="H156" s="24">
        <f t="shared" si="17"/>
        <v>0.698087587457891</v>
      </c>
      <c r="K156" s="26"/>
    </row>
    <row r="157" ht="12.75" spans="1:14">
      <c r="A157" s="21">
        <v>45633</v>
      </c>
      <c r="B157" s="27">
        <v>3840</v>
      </c>
      <c r="C157" s="27">
        <v>2959875.13</v>
      </c>
      <c r="D157" s="29">
        <v>2678.81</v>
      </c>
      <c r="E157" s="41">
        <f t="shared" si="14"/>
        <v>0.132136067510389</v>
      </c>
      <c r="F157" s="23">
        <f t="shared" si="15"/>
        <v>0.193316876850815</v>
      </c>
      <c r="G157" s="23">
        <f t="shared" si="16"/>
        <v>0.150490310312516</v>
      </c>
      <c r="H157" s="24">
        <f t="shared" si="17"/>
        <v>0.697606770833333</v>
      </c>
      <c r="K157" s="26"/>
    </row>
    <row r="158" ht="12.75" spans="1:14">
      <c r="A158" s="21">
        <v>45634</v>
      </c>
      <c r="B158" s="27">
        <v>3839</v>
      </c>
      <c r="C158" s="27">
        <v>2926936.57</v>
      </c>
      <c r="D158" s="29">
        <v>2666.73</v>
      </c>
      <c r="E158" s="41">
        <f t="shared" si="14"/>
        <v>0.133020504779849</v>
      </c>
      <c r="F158" s="23">
        <f t="shared" si="15"/>
        <v>0.194610820691615</v>
      </c>
      <c r="G158" s="23">
        <f t="shared" si="16"/>
        <v>0.151497599553379</v>
      </c>
      <c r="H158" s="24">
        <f t="shared" si="17"/>
        <v>0.694641833810888</v>
      </c>
      <c r="K158" s="26"/>
    </row>
    <row r="159" ht="12.75" spans="1:14">
      <c r="A159" s="21">
        <v>45635</v>
      </c>
      <c r="B159" s="27">
        <v>3855</v>
      </c>
      <c r="C159" s="27">
        <v>2936080</v>
      </c>
      <c r="D159" s="29">
        <v>2680.08</v>
      </c>
      <c r="E159" s="41">
        <f t="shared" si="14"/>
        <v>0.133270101632108</v>
      </c>
      <c r="F159" s="23">
        <f t="shared" si="15"/>
        <v>0.194975984305605</v>
      </c>
      <c r="G159" s="23">
        <f t="shared" si="16"/>
        <v>0.151781866434157</v>
      </c>
      <c r="H159" s="24">
        <f t="shared" si="17"/>
        <v>0.695221789883268</v>
      </c>
      <c r="K159" s="26"/>
    </row>
    <row r="160" ht="12.75" spans="1:14">
      <c r="A160" s="21">
        <v>45636</v>
      </c>
      <c r="B160" s="27">
        <v>3856</v>
      </c>
      <c r="C160" s="27">
        <v>2909603.2</v>
      </c>
      <c r="D160" s="29">
        <v>2673</v>
      </c>
      <c r="E160" s="41">
        <f t="shared" si="14"/>
        <v>0.134127567635339</v>
      </c>
      <c r="F160" s="23">
        <f t="shared" si="15"/>
        <v>0.196230468814442</v>
      </c>
      <c r="G160" s="23">
        <f t="shared" si="16"/>
        <v>0.15275843798907</v>
      </c>
      <c r="H160" s="24">
        <f t="shared" si="17"/>
        <v>0.693205394190871</v>
      </c>
      <c r="K160" s="26"/>
    </row>
    <row r="161" ht="12.75" spans="1:11">
      <c r="A161" s="21">
        <v>45637</v>
      </c>
      <c r="B161" s="27">
        <v>3834</v>
      </c>
      <c r="C161" s="27">
        <v>2871301.64</v>
      </c>
      <c r="D161" s="29">
        <v>2641</v>
      </c>
      <c r="E161" s="41">
        <f t="shared" si="14"/>
        <v>0.134289617861257</v>
      </c>
      <c r="F161" s="23">
        <f t="shared" si="15"/>
        <v>0.196467550514825</v>
      </c>
      <c r="G161" s="23">
        <f t="shared" si="16"/>
        <v>0.152942997657327</v>
      </c>
      <c r="H161" s="24">
        <f t="shared" si="17"/>
        <v>0.688836724047992</v>
      </c>
      <c r="K161" s="26"/>
    </row>
    <row r="162" ht="12.75" spans="1:11">
      <c r="A162" s="21">
        <v>45638</v>
      </c>
      <c r="B162" s="27">
        <v>3802</v>
      </c>
      <c r="C162" s="27">
        <v>2850125.79</v>
      </c>
      <c r="D162" s="29">
        <v>2598.01</v>
      </c>
      <c r="E162" s="41">
        <f t="shared" si="14"/>
        <v>0.133085164637593</v>
      </c>
      <c r="F162" s="23">
        <f t="shared" si="15"/>
        <v>0.194705418949246</v>
      </c>
      <c r="G162" s="23">
        <f t="shared" si="16"/>
        <v>0.151571240931089</v>
      </c>
      <c r="H162" s="24">
        <f t="shared" si="17"/>
        <v>0.68332719621252</v>
      </c>
      <c r="K162" s="26"/>
    </row>
    <row r="163" ht="12.75" spans="1:11">
      <c r="A163" s="21">
        <v>45639</v>
      </c>
      <c r="B163" s="27">
        <v>3865</v>
      </c>
      <c r="C163" s="27">
        <v>2889657.19</v>
      </c>
      <c r="D163" s="29">
        <v>2635.27</v>
      </c>
      <c r="E163" s="41">
        <f t="shared" si="14"/>
        <v>0.133147081021054</v>
      </c>
      <c r="F163" s="23">
        <f t="shared" si="15"/>
        <v>0.194796003466418</v>
      </c>
      <c r="G163" s="23">
        <f t="shared" si="16"/>
        <v>0.151641757754663</v>
      </c>
      <c r="H163" s="24">
        <f t="shared" si="17"/>
        <v>0.681829236739974</v>
      </c>
      <c r="K163" s="26"/>
    </row>
    <row r="164" ht="12.75" spans="1:11">
      <c r="A164" s="21">
        <v>45640</v>
      </c>
      <c r="B164" s="27">
        <v>3866</v>
      </c>
      <c r="C164" s="27">
        <v>2891213.23</v>
      </c>
      <c r="D164" s="29">
        <v>2605</v>
      </c>
      <c r="E164" s="41">
        <f t="shared" si="14"/>
        <v>0.13154685239179</v>
      </c>
      <c r="F164" s="23">
        <f t="shared" si="15"/>
        <v>0.192454847060865</v>
      </c>
      <c r="G164" s="23">
        <f t="shared" si="16"/>
        <v>0.149819250792512</v>
      </c>
      <c r="H164" s="24">
        <f t="shared" si="17"/>
        <v>0.673823072943611</v>
      </c>
      <c r="K164" s="26"/>
    </row>
    <row r="165" ht="12.75" spans="1:11">
      <c r="A165" s="21">
        <v>45641</v>
      </c>
      <c r="B165" s="27">
        <v>3879</v>
      </c>
      <c r="C165" s="27">
        <v>2895975.24</v>
      </c>
      <c r="D165" s="29">
        <v>2610.4</v>
      </c>
      <c r="E165" s="41">
        <f t="shared" si="14"/>
        <v>0.131602782626001</v>
      </c>
      <c r="F165" s="23">
        <f t="shared" si="15"/>
        <v>0.192536673759683</v>
      </c>
      <c r="G165" s="23">
        <f t="shared" si="16"/>
        <v>0.149882949966105</v>
      </c>
      <c r="H165" s="24">
        <f t="shared" si="17"/>
        <v>0.672956947666924</v>
      </c>
      <c r="K165" s="26"/>
    </row>
    <row r="166" ht="12.75" spans="1:11">
      <c r="A166" s="21">
        <v>45642</v>
      </c>
      <c r="B166" s="27">
        <v>3853</v>
      </c>
      <c r="C166" s="27">
        <v>2902189.57</v>
      </c>
      <c r="D166" s="29">
        <v>2602.34</v>
      </c>
      <c r="E166" s="41">
        <f t="shared" si="14"/>
        <v>0.130915514247403</v>
      </c>
      <c r="F166" s="23">
        <f t="shared" si="15"/>
        <v>0.19153119070716</v>
      </c>
      <c r="G166" s="23">
        <f t="shared" si="16"/>
        <v>0.14910021718533</v>
      </c>
      <c r="H166" s="24">
        <f t="shared" si="17"/>
        <v>0.675406177004931</v>
      </c>
      <c r="K166" s="26"/>
    </row>
    <row r="167" ht="12.75" spans="1:11">
      <c r="A167" s="21">
        <v>45643</v>
      </c>
      <c r="B167" s="27">
        <v>3834</v>
      </c>
      <c r="C167" s="27">
        <v>2906792.8</v>
      </c>
      <c r="D167" s="29">
        <v>2586.18</v>
      </c>
      <c r="E167" s="41">
        <f t="shared" si="14"/>
        <v>0.129896523756354</v>
      </c>
      <c r="F167" s="23">
        <f t="shared" si="15"/>
        <v>0.190040393659982</v>
      </c>
      <c r="G167" s="23">
        <f t="shared" si="16"/>
        <v>0.147939684727443</v>
      </c>
      <c r="H167" s="24">
        <f t="shared" si="17"/>
        <v>0.674538341158059</v>
      </c>
      <c r="K167" s="26"/>
    </row>
    <row r="168" ht="12.75" spans="1:11">
      <c r="A168" s="21">
        <v>45644</v>
      </c>
      <c r="B168" s="27">
        <v>3867</v>
      </c>
      <c r="C168" s="27">
        <v>2927812.13</v>
      </c>
      <c r="D168" s="29">
        <v>2606.31</v>
      </c>
      <c r="E168" s="41">
        <f t="shared" si="14"/>
        <v>0.129967785877026</v>
      </c>
      <c r="F168" s="23">
        <f t="shared" si="15"/>
        <v>0.190144651118718</v>
      </c>
      <c r="G168" s="23">
        <f t="shared" si="16"/>
        <v>0.148020845449534</v>
      </c>
      <c r="H168" s="24">
        <f t="shared" si="17"/>
        <v>0.673987587276959</v>
      </c>
      <c r="K168" s="26"/>
    </row>
    <row r="169" ht="12.75" spans="1:11">
      <c r="A169" s="21">
        <v>45645</v>
      </c>
      <c r="B169" s="27">
        <v>3987</v>
      </c>
      <c r="C169" s="27">
        <v>2997874.09</v>
      </c>
      <c r="D169" s="29">
        <v>2628.72</v>
      </c>
      <c r="E169" s="41">
        <f t="shared" si="14"/>
        <v>0.128021760913915</v>
      </c>
      <c r="F169" s="23">
        <f t="shared" si="15"/>
        <v>0.18729758993981</v>
      </c>
      <c r="G169" s="23">
        <f t="shared" si="16"/>
        <v>0.145804509621683</v>
      </c>
      <c r="H169" s="24">
        <f t="shared" si="17"/>
        <v>0.659322799097065</v>
      </c>
      <c r="K169" s="26"/>
    </row>
    <row r="170" ht="12.75" spans="1:11">
      <c r="A170" s="21">
        <v>45646</v>
      </c>
      <c r="B170" s="27">
        <v>3901</v>
      </c>
      <c r="C170" s="27">
        <v>3003390.12</v>
      </c>
      <c r="D170" s="29">
        <v>2646.68</v>
      </c>
      <c r="E170" s="41">
        <f t="shared" si="14"/>
        <v>0.128659702722868</v>
      </c>
      <c r="F170" s="23">
        <f t="shared" si="15"/>
        <v>0.188230907545238</v>
      </c>
      <c r="G170" s="23">
        <f t="shared" si="16"/>
        <v>0.146531064169579</v>
      </c>
      <c r="H170" s="24">
        <f t="shared" si="17"/>
        <v>0.678461932837734</v>
      </c>
      <c r="K170" s="26"/>
    </row>
    <row r="171" ht="12.75" spans="1:11">
      <c r="A171" s="21">
        <v>45647</v>
      </c>
      <c r="B171" s="27">
        <v>3892</v>
      </c>
      <c r="C171" s="27">
        <v>2996899.78</v>
      </c>
      <c r="D171" s="29">
        <v>2642.29</v>
      </c>
      <c r="E171" s="41">
        <f t="shared" si="14"/>
        <v>0.128724471393568</v>
      </c>
      <c r="F171" s="23">
        <f t="shared" si="15"/>
        <v>0.188325664997713</v>
      </c>
      <c r="G171" s="23">
        <f t="shared" si="16"/>
        <v>0.146604829474811</v>
      </c>
      <c r="H171" s="24">
        <f t="shared" si="17"/>
        <v>0.678902877697842</v>
      </c>
      <c r="K171" s="26"/>
    </row>
    <row r="172" ht="12.75" spans="1:11">
      <c r="A172" s="21">
        <v>45648</v>
      </c>
      <c r="B172" s="27">
        <v>3922</v>
      </c>
      <c r="C172" s="27">
        <v>3025290.36</v>
      </c>
      <c r="D172" s="29">
        <v>2673.42</v>
      </c>
      <c r="E172" s="41">
        <f t="shared" si="14"/>
        <v>0.129018796066901</v>
      </c>
      <c r="F172" s="23">
        <f t="shared" si="15"/>
        <v>0.188756266026644</v>
      </c>
      <c r="G172" s="23">
        <f t="shared" si="16"/>
        <v>0.146940037054823</v>
      </c>
      <c r="H172" s="24">
        <f t="shared" si="17"/>
        <v>0.68164711881693</v>
      </c>
      <c r="K172" s="26"/>
    </row>
    <row r="173" ht="12.75" spans="1:11">
      <c r="A173" s="21">
        <v>45649</v>
      </c>
      <c r="B173" s="27">
        <v>3887</v>
      </c>
      <c r="C173" s="27">
        <v>3003601.28</v>
      </c>
      <c r="D173" s="29">
        <v>2672.21</v>
      </c>
      <c r="E173" s="41">
        <f t="shared" si="14"/>
        <v>0.129891627959354</v>
      </c>
      <c r="F173" s="23">
        <f t="shared" si="15"/>
        <v>0.190033231041904</v>
      </c>
      <c r="G173" s="23">
        <f t="shared" si="16"/>
        <v>0.147934108884119</v>
      </c>
      <c r="H173" s="24">
        <f t="shared" si="17"/>
        <v>0.687473630048881</v>
      </c>
      <c r="K173" s="26"/>
    </row>
    <row r="174" ht="12.75" spans="1:11">
      <c r="A174" s="21">
        <v>45650</v>
      </c>
      <c r="B174" s="27">
        <v>3939</v>
      </c>
      <c r="C174" s="27">
        <v>2957454.47</v>
      </c>
      <c r="D174" s="29">
        <v>2623.67</v>
      </c>
      <c r="E174" s="41">
        <f t="shared" si="14"/>
        <v>0.129522135973914</v>
      </c>
      <c r="F174" s="23">
        <f t="shared" si="15"/>
        <v>0.189492659205672</v>
      </c>
      <c r="G174" s="23">
        <f t="shared" si="16"/>
        <v>0.147513292943441</v>
      </c>
      <c r="H174" s="24">
        <f t="shared" si="17"/>
        <v>0.666075145976136</v>
      </c>
      <c r="K174" s="26"/>
    </row>
    <row r="175" ht="12.75" spans="1:11">
      <c r="A175" s="21">
        <v>45651</v>
      </c>
      <c r="B175" s="27">
        <v>3866</v>
      </c>
      <c r="C175" s="27">
        <v>2983314.98</v>
      </c>
      <c r="D175" s="29">
        <v>2637.09</v>
      </c>
      <c r="E175" s="41">
        <f t="shared" si="14"/>
        <v>0.1290561481376</v>
      </c>
      <c r="F175" s="23">
        <f t="shared" si="15"/>
        <v>0.188810912617748</v>
      </c>
      <c r="G175" s="23">
        <f t="shared" si="16"/>
        <v>0.146982577481644</v>
      </c>
      <c r="H175" s="24">
        <f t="shared" si="17"/>
        <v>0.682123642007243</v>
      </c>
      <c r="K175" s="26"/>
    </row>
    <row r="176" ht="12.75" spans="1:11">
      <c r="A176" s="21">
        <v>45652</v>
      </c>
      <c r="B176" s="27">
        <v>3862</v>
      </c>
      <c r="C176" s="27">
        <v>2977221.26</v>
      </c>
      <c r="D176" s="29">
        <v>2618.8</v>
      </c>
      <c r="E176" s="41">
        <f t="shared" si="14"/>
        <v>0.128423374217071</v>
      </c>
      <c r="F176" s="23">
        <f t="shared" si="15"/>
        <v>0.187885155703879</v>
      </c>
      <c r="G176" s="23">
        <f t="shared" si="16"/>
        <v>0.146261908663114</v>
      </c>
      <c r="H176" s="24">
        <f t="shared" si="17"/>
        <v>0.678094251683066</v>
      </c>
      <c r="K176" s="26"/>
    </row>
    <row r="177" ht="12.75" spans="1:11">
      <c r="A177" s="21">
        <v>45653</v>
      </c>
      <c r="B177" s="27">
        <v>3826</v>
      </c>
      <c r="C177" s="27">
        <v>2984621.64</v>
      </c>
      <c r="D177" s="29">
        <v>2582.47</v>
      </c>
      <c r="E177" s="41">
        <f t="shared" si="14"/>
        <v>0.126327778016111</v>
      </c>
      <c r="F177" s="23">
        <f t="shared" si="15"/>
        <v>0.184819269755077</v>
      </c>
      <c r="G177" s="23">
        <f t="shared" si="16"/>
        <v>0.1438752255378</v>
      </c>
      <c r="H177" s="24">
        <f t="shared" si="17"/>
        <v>0.674979090433873</v>
      </c>
      <c r="K177" s="26"/>
    </row>
    <row r="178" ht="12.75" spans="1:11">
      <c r="A178" s="21">
        <v>45655</v>
      </c>
      <c r="B178" s="27">
        <v>3817</v>
      </c>
      <c r="C178" s="27">
        <v>2981608.06</v>
      </c>
      <c r="D178" s="29">
        <v>2570.11</v>
      </c>
      <c r="E178" s="41">
        <f t="shared" si="14"/>
        <v>0.125850229959467</v>
      </c>
      <c r="F178" s="23">
        <f t="shared" si="15"/>
        <v>0.184120610406453</v>
      </c>
      <c r="G178" s="23">
        <f t="shared" si="16"/>
        <v>0.143331344093563</v>
      </c>
      <c r="H178" s="24">
        <f t="shared" si="17"/>
        <v>0.673332460047158</v>
      </c>
      <c r="K178" s="26"/>
    </row>
    <row r="179" ht="12.75" spans="1:11">
      <c r="A179" s="21">
        <v>45656</v>
      </c>
      <c r="B179" s="27">
        <v>3843</v>
      </c>
      <c r="C179" s="27">
        <v>2997933.42</v>
      </c>
      <c r="D179" s="29">
        <v>2587.13</v>
      </c>
      <c r="E179" s="41">
        <f t="shared" si="14"/>
        <v>0.125993785412353</v>
      </c>
      <c r="F179" s="23">
        <f t="shared" si="15"/>
        <v>0.184330634000538</v>
      </c>
      <c r="G179" s="23">
        <f t="shared" si="16"/>
        <v>0.143494839988808</v>
      </c>
      <c r="H179" s="24">
        <f t="shared" si="17"/>
        <v>0.673205828779599</v>
      </c>
      <c r="K179" s="26"/>
    </row>
    <row r="180" ht="12.75" spans="1:11">
      <c r="A180" s="21">
        <v>45657</v>
      </c>
      <c r="B180" s="27">
        <v>3814</v>
      </c>
      <c r="C180" s="27">
        <v>2989247.09</v>
      </c>
      <c r="D180" s="29">
        <v>2581.58</v>
      </c>
      <c r="E180" s="41">
        <f t="shared" si="14"/>
        <v>0.126088833961197</v>
      </c>
      <c r="F180" s="23">
        <f t="shared" si="15"/>
        <v>0.184469691329531</v>
      </c>
      <c r="G180" s="23">
        <f t="shared" si="16"/>
        <v>0.143603091171697</v>
      </c>
      <c r="H180" s="24">
        <f t="shared" si="17"/>
        <v>0.676869428421605</v>
      </c>
      <c r="K180" s="26"/>
    </row>
    <row r="181" ht="12.75" spans="1:11">
      <c r="A181" s="21">
        <v>45658</v>
      </c>
      <c r="B181" s="27">
        <v>3807</v>
      </c>
      <c r="C181" s="27">
        <v>2985203.79</v>
      </c>
      <c r="D181" s="29">
        <v>2555.84</v>
      </c>
      <c r="E181" s="41">
        <f t="shared" si="14"/>
        <v>0.125000725662351</v>
      </c>
      <c r="F181" s="23">
        <f t="shared" si="15"/>
        <v>0.182877773982727</v>
      </c>
      <c r="G181" s="23">
        <f t="shared" si="16"/>
        <v>0.142363840158464</v>
      </c>
      <c r="H181" s="24">
        <f t="shared" si="17"/>
        <v>0.671352771210927</v>
      </c>
      <c r="K181" s="26"/>
    </row>
    <row r="182" ht="12.75" spans="1:11">
      <c r="A182" s="21">
        <v>45659</v>
      </c>
      <c r="B182" s="27">
        <v>3825</v>
      </c>
      <c r="C182" s="27">
        <v>2993490.87</v>
      </c>
      <c r="D182" s="29">
        <v>2545.64</v>
      </c>
      <c r="E182" s="41">
        <f t="shared" si="14"/>
        <v>0.124157198448379</v>
      </c>
      <c r="F182" s="23">
        <f t="shared" si="15"/>
        <v>0.181643682113519</v>
      </c>
      <c r="G182" s="23">
        <f t="shared" si="16"/>
        <v>0.141403143547921</v>
      </c>
      <c r="H182" s="24">
        <f t="shared" si="17"/>
        <v>0.665526797385621</v>
      </c>
      <c r="K182" s="26"/>
    </row>
    <row r="183" ht="12.75" spans="1:11">
      <c r="A183" s="21">
        <v>45660</v>
      </c>
      <c r="B183" s="27">
        <v>3823</v>
      </c>
      <c r="C183" s="27">
        <v>2975216.97</v>
      </c>
      <c r="D183" s="29">
        <v>2523.53</v>
      </c>
      <c r="E183" s="41">
        <f t="shared" si="14"/>
        <v>0.12383479380329</v>
      </c>
      <c r="F183" s="23">
        <f t="shared" si="15"/>
        <v>0.181171999701252</v>
      </c>
      <c r="G183" s="23">
        <f t="shared" si="16"/>
        <v>0.141035955572679</v>
      </c>
      <c r="H183" s="24">
        <f t="shared" si="17"/>
        <v>0.66009155113785</v>
      </c>
      <c r="K183" s="26"/>
    </row>
    <row r="184" ht="12.75" spans="1:11">
      <c r="A184" s="21">
        <v>45661</v>
      </c>
      <c r="B184" s="27">
        <v>3813</v>
      </c>
      <c r="C184" s="27">
        <v>2966431.04</v>
      </c>
      <c r="D184" s="29">
        <v>2499.49</v>
      </c>
      <c r="E184" s="41">
        <f t="shared" si="14"/>
        <v>0.123018379689015</v>
      </c>
      <c r="F184" s="23">
        <f t="shared" si="15"/>
        <v>0.179977574668313</v>
      </c>
      <c r="G184" s="23">
        <f t="shared" si="16"/>
        <v>0.140106138182804</v>
      </c>
      <c r="H184" s="24">
        <f t="shared" si="17"/>
        <v>0.655517964857068</v>
      </c>
      <c r="K184" s="26"/>
    </row>
    <row r="185" ht="12.75" spans="1:11">
      <c r="A185" s="21">
        <v>45662</v>
      </c>
      <c r="B185" s="27">
        <v>3827</v>
      </c>
      <c r="C185" s="27">
        <v>2974655.81</v>
      </c>
      <c r="D185" s="29">
        <v>2496.16</v>
      </c>
      <c r="E185" s="41">
        <f t="shared" si="14"/>
        <v>0.122514799451705</v>
      </c>
      <c r="F185" s="23">
        <f t="shared" si="15"/>
        <v>0.179240829882769</v>
      </c>
      <c r="G185" s="23">
        <f t="shared" si="16"/>
        <v>0.139532608581024</v>
      </c>
      <c r="H185" s="24">
        <f t="shared" si="17"/>
        <v>0.65224980402404</v>
      </c>
      <c r="K185" s="26"/>
    </row>
    <row r="186" ht="12.75" spans="1:11">
      <c r="A186" s="21">
        <v>45663</v>
      </c>
      <c r="B186" s="27">
        <v>3821</v>
      </c>
      <c r="C186" s="27">
        <v>2970332.95</v>
      </c>
      <c r="D186" s="29">
        <v>2479.66</v>
      </c>
      <c r="E186" s="41">
        <f t="shared" si="14"/>
        <v>0.121882080593019</v>
      </c>
      <c r="F186" s="23">
        <f t="shared" si="15"/>
        <v>0.178315153525129</v>
      </c>
      <c r="G186" s="23">
        <f t="shared" si="16"/>
        <v>0.138812002472652</v>
      </c>
      <c r="H186" s="24">
        <f t="shared" si="17"/>
        <v>0.648955770740644</v>
      </c>
      <c r="K186" s="26"/>
    </row>
    <row r="187" ht="12.75" spans="1:11">
      <c r="A187" s="21">
        <v>45664</v>
      </c>
      <c r="B187" s="27">
        <v>3778</v>
      </c>
      <c r="C187" s="27">
        <v>2946486.85</v>
      </c>
      <c r="D187" s="29">
        <v>2433</v>
      </c>
      <c r="E187" s="41">
        <f t="shared" si="14"/>
        <v>0.120556451830084</v>
      </c>
      <c r="F187" s="23">
        <f t="shared" si="15"/>
        <v>0.176375740485657</v>
      </c>
      <c r="G187" s="23">
        <f t="shared" si="16"/>
        <v>0.137302238426756</v>
      </c>
      <c r="H187" s="24">
        <f t="shared" si="17"/>
        <v>0.643991529910005</v>
      </c>
      <c r="K187" s="26"/>
    </row>
    <row r="188" ht="12.75" spans="1:11">
      <c r="A188" s="21">
        <v>45665</v>
      </c>
      <c r="B188" s="27">
        <v>3805</v>
      </c>
      <c r="C188" s="27">
        <v>2973015.55</v>
      </c>
      <c r="D188" s="29">
        <v>2424.07</v>
      </c>
      <c r="E188" s="41">
        <f t="shared" si="14"/>
        <v>0.119042169153807</v>
      </c>
      <c r="F188" s="23">
        <f t="shared" si="15"/>
        <v>0.174160324186666</v>
      </c>
      <c r="G188" s="23">
        <f t="shared" si="16"/>
        <v>0.135577615663665</v>
      </c>
      <c r="H188" s="24">
        <f t="shared" si="17"/>
        <v>0.637074901445467</v>
      </c>
      <c r="K188" s="26"/>
    </row>
    <row r="189" ht="12.75" spans="1:11">
      <c r="A189" s="21">
        <v>45666</v>
      </c>
      <c r="B189" s="27">
        <v>3813</v>
      </c>
      <c r="C189" s="27">
        <v>2968114.96</v>
      </c>
      <c r="D189" s="29">
        <v>2394.41</v>
      </c>
      <c r="E189" s="41">
        <f t="shared" si="14"/>
        <v>0.117779757425568</v>
      </c>
      <c r="F189" s="23">
        <f t="shared" si="15"/>
        <v>0.172313398534941</v>
      </c>
      <c r="G189" s="23">
        <f t="shared" si="16"/>
        <v>0.13413984975838</v>
      </c>
      <c r="H189" s="24">
        <f t="shared" si="17"/>
        <v>0.627959611854183</v>
      </c>
      <c r="K189" s="26"/>
    </row>
    <row r="190" ht="12.75" spans="1:11">
      <c r="A190" s="21">
        <v>45667</v>
      </c>
      <c r="B190" s="27">
        <v>3811</v>
      </c>
      <c r="C190" s="27">
        <v>2980441.76</v>
      </c>
      <c r="D190" s="29">
        <v>2362.22</v>
      </c>
      <c r="E190" s="41">
        <f t="shared" si="14"/>
        <v>0.115715772282026</v>
      </c>
      <c r="F190" s="23">
        <f t="shared" si="15"/>
        <v>0.169293759996169</v>
      </c>
      <c r="G190" s="23">
        <f t="shared" si="16"/>
        <v>0.131789168596269</v>
      </c>
      <c r="H190" s="24">
        <f t="shared" si="17"/>
        <v>0.619842561007609</v>
      </c>
      <c r="K190" s="26"/>
    </row>
    <row r="191" ht="12.75" spans="1:11">
      <c r="A191" s="21">
        <v>45668</v>
      </c>
      <c r="B191" s="27">
        <v>3797</v>
      </c>
      <c r="C191" s="27">
        <v>2985060.4</v>
      </c>
      <c r="D191" s="29">
        <v>2342.57</v>
      </c>
      <c r="E191" s="41">
        <f t="shared" si="14"/>
        <v>0.114575644767523</v>
      </c>
      <c r="F191" s="23">
        <f t="shared" si="15"/>
        <v>0.167625737824266</v>
      </c>
      <c r="G191" s="23">
        <f t="shared" si="16"/>
        <v>0.130490672684546</v>
      </c>
      <c r="H191" s="24">
        <f t="shared" si="17"/>
        <v>0.616952857519094</v>
      </c>
      <c r="K191" s="26"/>
    </row>
    <row r="192" ht="12.75" spans="1:11">
      <c r="A192" s="21">
        <v>45669</v>
      </c>
      <c r="B192" s="27">
        <v>3801</v>
      </c>
      <c r="C192" s="27">
        <v>2999567.36</v>
      </c>
      <c r="D192" s="29">
        <v>2326.69</v>
      </c>
      <c r="E192" s="41">
        <f t="shared" si="14"/>
        <v>0.113248578621685</v>
      </c>
      <c r="F192" s="23">
        <f t="shared" si="15"/>
        <v>0.165684221873917</v>
      </c>
      <c r="G192" s="23">
        <f t="shared" si="16"/>
        <v>0.128979271597355</v>
      </c>
      <c r="H192" s="24">
        <f t="shared" si="17"/>
        <v>0.6121257563799</v>
      </c>
      <c r="K192" s="26"/>
    </row>
    <row r="193" ht="12.75" spans="1:27">
      <c r="A193" s="21">
        <v>45671</v>
      </c>
      <c r="B193" s="27">
        <v>3824</v>
      </c>
      <c r="C193" s="27">
        <v>3058289.25</v>
      </c>
      <c r="D193" s="29">
        <v>2292.15</v>
      </c>
      <c r="E193" s="41">
        <f t="shared" si="14"/>
        <v>0.109425195801869</v>
      </c>
      <c r="F193" s="23">
        <f t="shared" si="15"/>
        <v>0.160090560433419</v>
      </c>
      <c r="G193" s="23">
        <f t="shared" si="16"/>
        <v>0.124624805191334</v>
      </c>
      <c r="H193" s="24">
        <f t="shared" si="17"/>
        <v>0.599411610878661</v>
      </c>
      <c r="K193" s="26"/>
    </row>
    <row r="194" ht="12.75" spans="1:27">
      <c r="A194" s="21">
        <v>45672</v>
      </c>
      <c r="B194" s="27">
        <v>3856</v>
      </c>
      <c r="C194" s="27">
        <v>3089905.06</v>
      </c>
      <c r="D194" s="29">
        <v>2303.71</v>
      </c>
      <c r="E194" s="41">
        <f t="shared" ref="E194:E224" si="18">(D194*0.8)*182.5/C194</f>
        <v>0.108851778119034</v>
      </c>
      <c r="F194" s="23">
        <f t="shared" ref="F194:F224" si="19">(D194*0.8)*267/C194</f>
        <v>0.159251642508395</v>
      </c>
      <c r="G194" s="23">
        <f t="shared" ref="G194:G224" si="20">E194*0.7+F194*0.3</f>
        <v>0.123971737435842</v>
      </c>
      <c r="H194" s="24">
        <f t="shared" ref="H194:H224" si="21">D194/B194</f>
        <v>0.597435165975104</v>
      </c>
      <c r="K194" s="26"/>
    </row>
    <row r="195" ht="12.75" spans="1:27">
      <c r="A195" s="21">
        <v>45673</v>
      </c>
      <c r="B195" s="27">
        <v>3831</v>
      </c>
      <c r="C195" s="27">
        <v>3074974.75</v>
      </c>
      <c r="D195" s="29">
        <v>2273.79</v>
      </c>
      <c r="E195" s="41">
        <f t="shared" si="18"/>
        <v>0.107959696254416</v>
      </c>
      <c r="F195" s="23">
        <f t="shared" si="19"/>
        <v>0.15794651452016</v>
      </c>
      <c r="G195" s="23">
        <f t="shared" si="20"/>
        <v>0.122955741734139</v>
      </c>
      <c r="H195" s="24">
        <f t="shared" si="21"/>
        <v>0.593523884103367</v>
      </c>
      <c r="K195" s="26"/>
    </row>
    <row r="196" ht="12.75" spans="1:27">
      <c r="A196" s="21">
        <v>45674</v>
      </c>
      <c r="B196" s="27">
        <v>3830</v>
      </c>
      <c r="C196" s="27">
        <v>3082566.88</v>
      </c>
      <c r="D196" s="29">
        <v>2246.57</v>
      </c>
      <c r="E196" s="41">
        <f t="shared" si="18"/>
        <v>0.106404575397242</v>
      </c>
      <c r="F196" s="23">
        <f t="shared" si="19"/>
        <v>0.155671351403088</v>
      </c>
      <c r="G196" s="23">
        <f t="shared" si="20"/>
        <v>0.121184608198996</v>
      </c>
      <c r="H196" s="24">
        <f t="shared" si="21"/>
        <v>0.58657180156658</v>
      </c>
      <c r="K196" s="26"/>
    </row>
    <row r="197" ht="12.75" spans="1:27">
      <c r="A197" s="21">
        <v>45675</v>
      </c>
      <c r="B197" s="27">
        <v>3836</v>
      </c>
      <c r="C197" s="27">
        <v>3092960.35</v>
      </c>
      <c r="D197" s="29">
        <v>2213.68</v>
      </c>
      <c r="E197" s="41">
        <f t="shared" si="18"/>
        <v>0.104494478889779</v>
      </c>
      <c r="F197" s="23">
        <f t="shared" si="19"/>
        <v>0.152876854046965</v>
      </c>
      <c r="G197" s="23">
        <f t="shared" si="20"/>
        <v>0.119009191436935</v>
      </c>
      <c r="H197" s="24">
        <f t="shared" si="21"/>
        <v>0.577080291970803</v>
      </c>
      <c r="K197" s="26"/>
    </row>
    <row r="198" ht="12.75" spans="1:27">
      <c r="A198" s="21">
        <v>45676</v>
      </c>
      <c r="B198" s="27">
        <v>3801</v>
      </c>
      <c r="C198" s="27">
        <v>3059494.48</v>
      </c>
      <c r="D198" s="29">
        <v>2193.68</v>
      </c>
      <c r="E198" s="41">
        <f t="shared" si="18"/>
        <v>0.104683071694903</v>
      </c>
      <c r="F198" s="23">
        <f t="shared" si="19"/>
        <v>0.153152767904324</v>
      </c>
      <c r="G198" s="23">
        <f t="shared" si="20"/>
        <v>0.119223980557729</v>
      </c>
      <c r="H198" s="24">
        <f t="shared" si="21"/>
        <v>0.577132333596422</v>
      </c>
      <c r="K198" s="26"/>
    </row>
    <row r="199" ht="12.75" spans="1:27">
      <c r="A199" s="21">
        <v>45677</v>
      </c>
      <c r="B199" s="27">
        <v>3814</v>
      </c>
      <c r="C199" s="27">
        <v>3040237.17</v>
      </c>
      <c r="D199" s="29">
        <v>2198.68</v>
      </c>
      <c r="E199" s="41">
        <f t="shared" si="18"/>
        <v>0.105586262534906</v>
      </c>
      <c r="F199" s="23">
        <f t="shared" si="19"/>
        <v>0.154474148475726</v>
      </c>
      <c r="G199" s="23">
        <f t="shared" si="20"/>
        <v>0.120252628317152</v>
      </c>
      <c r="H199" s="24">
        <f t="shared" si="21"/>
        <v>0.576476140534872</v>
      </c>
      <c r="K199" s="26"/>
    </row>
    <row r="200" ht="12.75" spans="1:27">
      <c r="A200" s="21">
        <v>45678</v>
      </c>
      <c r="B200" s="27">
        <v>3806</v>
      </c>
      <c r="C200" s="27">
        <v>3015663.1</v>
      </c>
      <c r="D200" s="29">
        <v>2186.55</v>
      </c>
      <c r="E200" s="41">
        <f t="shared" si="18"/>
        <v>0.105859404520352</v>
      </c>
      <c r="F200" s="23">
        <f t="shared" si="19"/>
        <v>0.154873758942105</v>
      </c>
      <c r="G200" s="23">
        <f t="shared" si="20"/>
        <v>0.120563710846878</v>
      </c>
      <c r="H200" s="24">
        <f t="shared" si="21"/>
        <v>0.574500788229112</v>
      </c>
      <c r="K200" s="26"/>
    </row>
    <row r="201" ht="12.75" spans="1:27">
      <c r="A201" s="21">
        <v>45679</v>
      </c>
      <c r="B201" s="27">
        <v>3806</v>
      </c>
      <c r="C201" s="27">
        <v>3013212.86</v>
      </c>
      <c r="D201" s="29">
        <v>2168.49</v>
      </c>
      <c r="E201" s="41">
        <f t="shared" si="18"/>
        <v>0.105070419751229</v>
      </c>
      <c r="F201" s="23">
        <f t="shared" si="19"/>
        <v>0.153719463416866</v>
      </c>
      <c r="G201" s="23">
        <f t="shared" si="20"/>
        <v>0.11966513285092</v>
      </c>
      <c r="H201" s="24">
        <f t="shared" si="21"/>
        <v>0.569755648975302</v>
      </c>
      <c r="K201" s="26"/>
    </row>
    <row r="202" ht="12.75" spans="1:27">
      <c r="A202" s="21">
        <v>45680</v>
      </c>
      <c r="B202" s="27">
        <v>3804</v>
      </c>
      <c r="C202" s="27">
        <v>3009648.66</v>
      </c>
      <c r="D202" s="29">
        <v>2143.83</v>
      </c>
      <c r="E202" s="41">
        <f t="shared" si="18"/>
        <v>0.103998577694448</v>
      </c>
      <c r="F202" s="23">
        <f t="shared" si="19"/>
        <v>0.152151343805027</v>
      </c>
      <c r="G202" s="23">
        <f t="shared" si="20"/>
        <v>0.118444407527622</v>
      </c>
      <c r="H202" s="24">
        <f t="shared" si="21"/>
        <v>0.563572555205047</v>
      </c>
      <c r="K202" s="26"/>
    </row>
    <row r="203" ht="12.75" spans="1:27">
      <c r="A203" s="21">
        <v>45681</v>
      </c>
      <c r="B203" s="27">
        <v>3812</v>
      </c>
      <c r="C203" s="27">
        <v>3021911.02</v>
      </c>
      <c r="D203" s="29">
        <v>2134.37</v>
      </c>
      <c r="E203" s="41">
        <f t="shared" si="18"/>
        <v>0.103119522030136</v>
      </c>
      <c r="F203" s="23">
        <f t="shared" si="19"/>
        <v>0.150865273326281</v>
      </c>
      <c r="G203" s="23">
        <f t="shared" si="20"/>
        <v>0.117443247418979</v>
      </c>
      <c r="H203" s="24">
        <f t="shared" si="21"/>
        <v>0.559908184679958</v>
      </c>
      <c r="K203" s="26"/>
    </row>
    <row r="204" ht="12.75" spans="1:27">
      <c r="A204" s="21">
        <v>45682</v>
      </c>
      <c r="B204" s="27">
        <v>3836</v>
      </c>
      <c r="C204" s="27">
        <v>3057474.9</v>
      </c>
      <c r="D204" s="29">
        <v>2133.29</v>
      </c>
      <c r="E204" s="41">
        <f t="shared" si="18"/>
        <v>0.101868486312022</v>
      </c>
      <c r="F204" s="23">
        <f t="shared" si="19"/>
        <v>0.149034990933204</v>
      </c>
      <c r="G204" s="23">
        <f t="shared" si="20"/>
        <v>0.116018437698377</v>
      </c>
      <c r="H204" s="24">
        <f t="shared" si="21"/>
        <v>0.556123566214807</v>
      </c>
      <c r="K204" s="26"/>
    </row>
    <row r="205" ht="12.75" spans="1:27">
      <c r="A205" s="21">
        <v>45683</v>
      </c>
      <c r="B205" s="27">
        <v>3832</v>
      </c>
      <c r="C205" s="27">
        <v>3060520.87</v>
      </c>
      <c r="D205" s="29">
        <v>2125.79</v>
      </c>
      <c r="E205" s="41">
        <f t="shared" si="18"/>
        <v>0.10140931991096</v>
      </c>
      <c r="F205" s="23">
        <f t="shared" si="19"/>
        <v>0.148363224198501</v>
      </c>
      <c r="G205" s="23">
        <f t="shared" si="20"/>
        <v>0.115495491197222</v>
      </c>
      <c r="H205" s="24">
        <f t="shared" si="21"/>
        <v>0.554746868475992</v>
      </c>
      <c r="I205" s="27"/>
      <c r="J205" s="27"/>
      <c r="K205" s="26"/>
      <c r="N205" s="27"/>
      <c r="P205" s="27"/>
      <c r="Q205" s="27"/>
      <c r="R205" s="27"/>
      <c r="S205" s="27"/>
      <c r="T205" s="27"/>
      <c r="U205" s="27"/>
      <c r="V205" s="27"/>
      <c r="X205" s="27"/>
      <c r="Y205" s="27"/>
      <c r="Z205" s="27"/>
      <c r="AA205" s="27"/>
    </row>
    <row r="206" ht="12.75" spans="1:27">
      <c r="A206" s="21">
        <v>45684</v>
      </c>
      <c r="B206" s="27">
        <v>3798</v>
      </c>
      <c r="C206" s="27">
        <v>3039399.77</v>
      </c>
      <c r="D206" s="29">
        <v>2117.45</v>
      </c>
      <c r="E206" s="41">
        <f t="shared" si="18"/>
        <v>0.101713405078003</v>
      </c>
      <c r="F206" s="23">
        <f t="shared" si="19"/>
        <v>0.148808104963435</v>
      </c>
      <c r="G206" s="23">
        <f t="shared" si="20"/>
        <v>0.115841815043633</v>
      </c>
      <c r="H206" s="24">
        <f t="shared" si="21"/>
        <v>0.557517114270669</v>
      </c>
      <c r="I206" s="27"/>
      <c r="J206" s="27"/>
      <c r="K206" s="26"/>
      <c r="N206" s="27"/>
      <c r="P206" s="27"/>
      <c r="Q206" s="27"/>
      <c r="R206" s="27"/>
      <c r="S206" s="27"/>
      <c r="T206" s="27"/>
      <c r="U206" s="27"/>
      <c r="V206" s="27"/>
      <c r="X206" s="27"/>
      <c r="Y206" s="27"/>
      <c r="Z206" s="27"/>
      <c r="AA206" s="27"/>
    </row>
    <row r="207" ht="12.75" spans="1:27">
      <c r="A207" s="21">
        <v>45685</v>
      </c>
      <c r="B207" s="27">
        <v>3783</v>
      </c>
      <c r="C207" s="27">
        <v>3057014.4</v>
      </c>
      <c r="D207" s="29">
        <v>2089.18</v>
      </c>
      <c r="E207" s="41">
        <f t="shared" si="18"/>
        <v>0.099777181291655</v>
      </c>
      <c r="F207" s="23">
        <f t="shared" si="19"/>
        <v>0.145975383040394</v>
      </c>
      <c r="G207" s="23">
        <f t="shared" si="20"/>
        <v>0.113636641816277</v>
      </c>
      <c r="H207" s="24">
        <f t="shared" si="21"/>
        <v>0.552254824213587</v>
      </c>
      <c r="I207" s="27"/>
      <c r="J207" s="27"/>
      <c r="K207" s="26"/>
      <c r="N207" s="27"/>
      <c r="P207" s="27"/>
      <c r="Q207" s="27"/>
      <c r="R207" s="27"/>
      <c r="S207" s="27"/>
      <c r="T207" s="27"/>
      <c r="U207" s="27"/>
      <c r="V207" s="27"/>
      <c r="X207" s="27"/>
      <c r="Y207" s="27"/>
      <c r="Z207" s="27"/>
      <c r="AA207" s="27"/>
    </row>
    <row r="208" ht="12.75" spans="1:27">
      <c r="A208" s="21">
        <v>45686</v>
      </c>
      <c r="B208" s="27">
        <v>3790</v>
      </c>
      <c r="C208" s="27">
        <v>3094657.51</v>
      </c>
      <c r="D208" s="29">
        <v>2063.1</v>
      </c>
      <c r="E208" s="41">
        <f t="shared" si="18"/>
        <v>0.0973330971284121</v>
      </c>
      <c r="F208" s="23">
        <f t="shared" si="19"/>
        <v>0.142399654428965</v>
      </c>
      <c r="G208" s="23">
        <f t="shared" si="20"/>
        <v>0.110853064318578</v>
      </c>
      <c r="H208" s="24">
        <f t="shared" si="21"/>
        <v>0.544353562005277</v>
      </c>
      <c r="I208" s="27"/>
      <c r="J208" s="27"/>
      <c r="K208" s="26"/>
      <c r="N208" s="27"/>
      <c r="P208" s="27"/>
      <c r="Q208" s="27"/>
      <c r="R208" s="27"/>
      <c r="S208" s="27"/>
      <c r="T208" s="27"/>
      <c r="U208" s="27"/>
      <c r="V208" s="27"/>
      <c r="X208" s="27"/>
      <c r="Y208" s="27"/>
      <c r="Z208" s="27"/>
      <c r="AA208" s="27"/>
    </row>
    <row r="209" ht="12.75" spans="1:27">
      <c r="A209" s="21">
        <v>45687</v>
      </c>
      <c r="B209" s="27">
        <v>3768</v>
      </c>
      <c r="C209" s="27">
        <v>3104083.82</v>
      </c>
      <c r="D209" s="29">
        <v>2035.52</v>
      </c>
      <c r="E209" s="41">
        <f t="shared" si="18"/>
        <v>0.0957403012396747</v>
      </c>
      <c r="F209" s="23">
        <f t="shared" si="19"/>
        <v>0.14006937222462</v>
      </c>
      <c r="G209" s="23">
        <f t="shared" si="20"/>
        <v>0.109039022535158</v>
      </c>
      <c r="H209" s="24">
        <f t="shared" si="21"/>
        <v>0.540212314225053</v>
      </c>
      <c r="I209" s="27"/>
      <c r="J209" s="27"/>
      <c r="K209" s="26"/>
      <c r="N209" s="27"/>
      <c r="P209" s="27"/>
      <c r="Q209" s="27"/>
      <c r="R209" s="27"/>
      <c r="S209" s="27"/>
      <c r="T209" s="27"/>
      <c r="U209" s="27"/>
      <c r="V209" s="27"/>
      <c r="X209" s="27"/>
      <c r="Y209" s="27"/>
      <c r="Z209" s="27"/>
      <c r="AA209" s="27"/>
    </row>
    <row r="210" ht="12.75" spans="1:27">
      <c r="A210" s="21">
        <v>45688</v>
      </c>
      <c r="B210" s="27">
        <v>3748</v>
      </c>
      <c r="C210" s="27">
        <v>3118960.54</v>
      </c>
      <c r="D210" s="29">
        <v>2005.76</v>
      </c>
      <c r="E210" s="41">
        <f t="shared" si="18"/>
        <v>0.0938905626552108</v>
      </c>
      <c r="F210" s="23">
        <f t="shared" si="19"/>
        <v>0.137363179336665</v>
      </c>
      <c r="G210" s="23">
        <f t="shared" si="20"/>
        <v>0.106932347659647</v>
      </c>
      <c r="H210" s="24">
        <f t="shared" si="21"/>
        <v>0.535154749199573</v>
      </c>
      <c r="I210" s="27"/>
      <c r="J210" s="27"/>
      <c r="K210" s="26"/>
      <c r="N210" s="27"/>
      <c r="P210" s="27"/>
      <c r="Q210" s="27"/>
      <c r="R210" s="27"/>
      <c r="S210" s="27"/>
      <c r="T210" s="27"/>
      <c r="U210" s="27"/>
      <c r="V210" s="27"/>
      <c r="X210" s="27"/>
      <c r="Y210" s="27"/>
      <c r="Z210" s="27"/>
      <c r="AA210" s="27"/>
    </row>
    <row r="211" ht="12.75" spans="1:27">
      <c r="A211" s="21">
        <v>45689</v>
      </c>
      <c r="B211" s="27">
        <v>3758</v>
      </c>
      <c r="C211" s="27">
        <v>3106202.06</v>
      </c>
      <c r="D211" s="29">
        <v>1995.14</v>
      </c>
      <c r="E211" s="41">
        <f t="shared" si="18"/>
        <v>0.0937770416648298</v>
      </c>
      <c r="F211" s="23">
        <f t="shared" si="19"/>
        <v>0.137197096572655</v>
      </c>
      <c r="G211" s="23">
        <f t="shared" si="20"/>
        <v>0.106803058137177</v>
      </c>
      <c r="H211" s="24">
        <f t="shared" si="21"/>
        <v>0.530904736562001</v>
      </c>
      <c r="I211" s="27"/>
      <c r="J211" s="27"/>
      <c r="K211" s="26"/>
      <c r="N211" s="27"/>
      <c r="P211" s="27"/>
      <c r="Q211" s="27"/>
      <c r="R211" s="27"/>
      <c r="S211" s="27"/>
      <c r="T211" s="27"/>
      <c r="U211" s="27"/>
      <c r="V211" s="27"/>
      <c r="X211" s="27"/>
      <c r="Y211" s="27"/>
      <c r="Z211" s="27"/>
      <c r="AA211" s="27"/>
    </row>
    <row r="212" ht="12.75" spans="1:27">
      <c r="A212" s="21">
        <v>45690</v>
      </c>
      <c r="B212" s="27">
        <v>3728</v>
      </c>
      <c r="C212" s="27">
        <v>3085026.21</v>
      </c>
      <c r="D212" s="29">
        <v>1987.95</v>
      </c>
      <c r="E212" s="41">
        <f t="shared" si="18"/>
        <v>0.0940804648787733</v>
      </c>
      <c r="F212" s="23">
        <f t="shared" si="19"/>
        <v>0.137641008891137</v>
      </c>
      <c r="G212" s="23">
        <f t="shared" si="20"/>
        <v>0.107148628082482</v>
      </c>
      <c r="H212" s="24">
        <f t="shared" si="21"/>
        <v>0.53324839055794</v>
      </c>
      <c r="I212" s="27"/>
      <c r="J212" s="27"/>
      <c r="K212" s="26"/>
      <c r="N212" s="27"/>
      <c r="P212" s="27"/>
      <c r="Q212" s="27"/>
      <c r="R212" s="27"/>
      <c r="S212" s="27"/>
      <c r="T212" s="27"/>
      <c r="U212" s="27"/>
      <c r="V212" s="27"/>
      <c r="X212" s="27"/>
      <c r="Y212" s="27"/>
      <c r="Z212" s="27"/>
      <c r="AA212" s="27"/>
    </row>
    <row r="213" ht="12.75" spans="1:27">
      <c r="A213" s="21">
        <v>45691</v>
      </c>
      <c r="B213" s="27">
        <v>3713</v>
      </c>
      <c r="C213" s="27">
        <v>3086093.22</v>
      </c>
      <c r="D213" s="29">
        <v>1998.15</v>
      </c>
      <c r="E213" s="41">
        <f t="shared" si="18"/>
        <v>0.0945304886156355</v>
      </c>
      <c r="F213" s="23">
        <f t="shared" si="19"/>
        <v>0.138299399782875</v>
      </c>
      <c r="G213" s="23">
        <f t="shared" si="20"/>
        <v>0.107661161965807</v>
      </c>
      <c r="H213" s="24">
        <f t="shared" si="21"/>
        <v>0.538149744142203</v>
      </c>
      <c r="I213" s="27"/>
      <c r="J213" s="27"/>
      <c r="K213" s="26"/>
      <c r="N213" s="27"/>
      <c r="P213" s="27"/>
      <c r="Q213" s="27"/>
      <c r="R213" s="27"/>
      <c r="S213" s="27"/>
      <c r="T213" s="27"/>
      <c r="U213" s="27"/>
      <c r="V213" s="27"/>
      <c r="X213" s="27"/>
      <c r="Y213" s="27"/>
      <c r="Z213" s="27"/>
      <c r="AA213" s="27"/>
    </row>
    <row r="214" ht="12.75" spans="1:27">
      <c r="A214" s="21">
        <v>45692</v>
      </c>
      <c r="B214" s="27">
        <v>3721</v>
      </c>
      <c r="C214" s="27">
        <v>3086377.29</v>
      </c>
      <c r="D214" s="29">
        <v>2014.71</v>
      </c>
      <c r="E214" s="41">
        <f t="shared" si="18"/>
        <v>0.0953051530521079</v>
      </c>
      <c r="F214" s="23">
        <f t="shared" si="19"/>
        <v>0.139432744465276</v>
      </c>
      <c r="G214" s="23">
        <f t="shared" si="20"/>
        <v>0.108543430476058</v>
      </c>
      <c r="H214" s="24">
        <f t="shared" si="21"/>
        <v>0.541443160440742</v>
      </c>
      <c r="I214" s="27"/>
      <c r="J214" s="27"/>
      <c r="K214" s="26"/>
      <c r="N214" s="27"/>
      <c r="P214" s="27"/>
      <c r="Q214" s="27"/>
      <c r="R214" s="27"/>
      <c r="S214" s="27"/>
      <c r="T214" s="27"/>
      <c r="U214" s="27"/>
      <c r="V214" s="27"/>
      <c r="X214" s="27"/>
      <c r="Y214" s="27"/>
      <c r="Z214" s="27"/>
      <c r="AA214" s="27"/>
    </row>
    <row r="215" ht="12.75" spans="1:27">
      <c r="A215" s="21">
        <v>45693</v>
      </c>
      <c r="B215" s="27">
        <v>3730</v>
      </c>
      <c r="C215" s="27">
        <v>3149471.43</v>
      </c>
      <c r="D215" s="29">
        <v>2019.58</v>
      </c>
      <c r="E215" s="41">
        <f t="shared" si="18"/>
        <v>0.0936216398699003</v>
      </c>
      <c r="F215" s="23">
        <f t="shared" si="19"/>
        <v>0.136969741617882</v>
      </c>
      <c r="G215" s="23">
        <f t="shared" si="20"/>
        <v>0.106626070394295</v>
      </c>
      <c r="H215" s="24">
        <f t="shared" si="21"/>
        <v>0.54144235924933</v>
      </c>
      <c r="K215" s="26"/>
    </row>
    <row r="216" ht="12.75" spans="1:27">
      <c r="A216" s="21">
        <v>45694</v>
      </c>
      <c r="B216" s="27">
        <v>3732</v>
      </c>
      <c r="C216" s="27">
        <v>3253059.03</v>
      </c>
      <c r="D216" s="29">
        <v>2045.12</v>
      </c>
      <c r="E216" s="41">
        <f t="shared" si="18"/>
        <v>0.0917866897730411</v>
      </c>
      <c r="F216" s="23">
        <f t="shared" si="19"/>
        <v>0.134285184489874</v>
      </c>
      <c r="G216" s="23">
        <f t="shared" si="20"/>
        <v>0.104536238188091</v>
      </c>
      <c r="H216" s="24">
        <f t="shared" si="21"/>
        <v>0.547995712754555</v>
      </c>
      <c r="K216" s="26"/>
    </row>
    <row r="217" ht="12.75" spans="1:27">
      <c r="A217" s="21">
        <v>45695</v>
      </c>
      <c r="B217" s="27">
        <v>3730</v>
      </c>
      <c r="C217" s="27">
        <v>3262300.22</v>
      </c>
      <c r="D217" s="29">
        <v>2043.75</v>
      </c>
      <c r="E217" s="41">
        <f t="shared" si="18"/>
        <v>0.0914653710197156</v>
      </c>
      <c r="F217" s="23">
        <f t="shared" si="19"/>
        <v>0.133815090752132</v>
      </c>
      <c r="G217" s="23">
        <f t="shared" si="20"/>
        <v>0.104170286939441</v>
      </c>
      <c r="H217" s="24">
        <f t="shared" si="21"/>
        <v>0.547922252010724</v>
      </c>
      <c r="K217" s="26"/>
    </row>
    <row r="218" ht="12.75" spans="1:27">
      <c r="A218" s="21">
        <v>45696</v>
      </c>
      <c r="B218" s="27">
        <v>3732</v>
      </c>
      <c r="C218" s="27">
        <v>3192000.4</v>
      </c>
      <c r="D218" s="29">
        <v>2058.76</v>
      </c>
      <c r="E218" s="41">
        <f t="shared" si="18"/>
        <v>0.0941663290518385</v>
      </c>
      <c r="F218" s="23">
        <f t="shared" si="19"/>
        <v>0.137766629352553</v>
      </c>
      <c r="G218" s="23">
        <f t="shared" si="20"/>
        <v>0.107246419142053</v>
      </c>
      <c r="H218" s="24">
        <f t="shared" si="21"/>
        <v>0.551650589496249</v>
      </c>
      <c r="K218" s="26"/>
    </row>
    <row r="219" ht="12.75" spans="1:27">
      <c r="A219" s="21">
        <v>45697</v>
      </c>
      <c r="B219" s="27">
        <v>3741</v>
      </c>
      <c r="C219" s="27">
        <v>3187346.8</v>
      </c>
      <c r="D219" s="29">
        <v>2082.85</v>
      </c>
      <c r="E219" s="41">
        <f t="shared" si="18"/>
        <v>0.0954072835751667</v>
      </c>
      <c r="F219" s="23">
        <f t="shared" si="19"/>
        <v>0.139582162819559</v>
      </c>
      <c r="G219" s="23">
        <f t="shared" si="20"/>
        <v>0.108659747348484</v>
      </c>
      <c r="H219" s="24">
        <f t="shared" si="21"/>
        <v>0.556762897620957</v>
      </c>
      <c r="K219" s="26"/>
    </row>
    <row r="220" ht="12.75" spans="1:27">
      <c r="A220" s="21">
        <v>45698</v>
      </c>
      <c r="B220" s="27">
        <v>3741</v>
      </c>
      <c r="C220" s="27">
        <v>3142324.29</v>
      </c>
      <c r="D220" s="29">
        <v>2103.91</v>
      </c>
      <c r="E220" s="41">
        <f t="shared" si="18"/>
        <v>0.0977527561294445</v>
      </c>
      <c r="F220" s="23">
        <f t="shared" si="19"/>
        <v>0.143013621296228</v>
      </c>
      <c r="G220" s="23">
        <f t="shared" si="20"/>
        <v>0.11133101567948</v>
      </c>
      <c r="H220" s="24">
        <f t="shared" si="21"/>
        <v>0.562392408446939</v>
      </c>
      <c r="K220" s="26"/>
    </row>
    <row r="221" ht="12.75" spans="1:27">
      <c r="A221" s="21">
        <v>45699</v>
      </c>
      <c r="B221" s="27">
        <v>3722</v>
      </c>
      <c r="C221" s="27">
        <v>3147388.39</v>
      </c>
      <c r="D221" s="29">
        <v>2097.75</v>
      </c>
      <c r="E221" s="41">
        <f t="shared" si="18"/>
        <v>0.0973097254133291</v>
      </c>
      <c r="F221" s="23">
        <f t="shared" si="19"/>
        <v>0.142365461289638</v>
      </c>
      <c r="G221" s="23">
        <f t="shared" si="20"/>
        <v>0.110826446176222</v>
      </c>
      <c r="H221" s="24">
        <f t="shared" si="21"/>
        <v>0.563608275120903</v>
      </c>
      <c r="K221" s="26"/>
    </row>
    <row r="222" ht="12.75" spans="1:27">
      <c r="A222" s="21">
        <v>45700</v>
      </c>
      <c r="B222" s="27">
        <v>3735</v>
      </c>
      <c r="C222" s="27">
        <v>3207943.09</v>
      </c>
      <c r="D222" s="29">
        <v>2090.28</v>
      </c>
      <c r="E222" s="41">
        <f t="shared" si="18"/>
        <v>0.0951328846672277</v>
      </c>
      <c r="F222" s="23">
        <f t="shared" si="19"/>
        <v>0.139180713458355</v>
      </c>
      <c r="G222" s="23">
        <f t="shared" si="20"/>
        <v>0.108347233304566</v>
      </c>
      <c r="H222" s="24">
        <f t="shared" si="21"/>
        <v>0.559646586345382</v>
      </c>
      <c r="K222" s="26"/>
    </row>
    <row r="223" ht="12.75" spans="1:27">
      <c r="A223" s="21">
        <v>45701</v>
      </c>
      <c r="B223" s="27">
        <v>3704</v>
      </c>
      <c r="C223" s="27">
        <v>3211425.97</v>
      </c>
      <c r="D223" s="29">
        <v>2075.46</v>
      </c>
      <c r="E223" s="41">
        <f t="shared" si="18"/>
        <v>0.0943559536575586</v>
      </c>
      <c r="F223" s="23">
        <f t="shared" si="19"/>
        <v>0.138044052748319</v>
      </c>
      <c r="G223" s="23">
        <f t="shared" si="20"/>
        <v>0.107462383384787</v>
      </c>
      <c r="H223" s="24">
        <f t="shared" si="21"/>
        <v>0.560329373650108</v>
      </c>
      <c r="K223" s="26"/>
    </row>
    <row r="224" ht="12.75" spans="1:27">
      <c r="A224" s="21">
        <v>45702</v>
      </c>
      <c r="B224" s="27">
        <v>3618</v>
      </c>
      <c r="C224" s="27">
        <v>3147179.67</v>
      </c>
      <c r="D224" s="29">
        <v>2002.77</v>
      </c>
      <c r="E224" s="41">
        <f t="shared" si="18"/>
        <v>0.0929099862925843</v>
      </c>
      <c r="F224" s="23">
        <f t="shared" si="19"/>
        <v>0.135928582685589</v>
      </c>
      <c r="G224" s="23">
        <f t="shared" si="20"/>
        <v>0.105815565210486</v>
      </c>
      <c r="H224" s="24">
        <f t="shared" si="21"/>
        <v>0.553557213930348</v>
      </c>
      <c r="K224" s="26"/>
    </row>
    <row r="225" s="38" customFormat="1" ht="12.75" spans="1:27">
      <c r="A225" s="16" t="s">
        <v>25</v>
      </c>
      <c r="B225" s="16" t="s">
        <v>1</v>
      </c>
      <c r="C225" s="16" t="s">
        <v>2</v>
      </c>
      <c r="D225" s="16" t="s">
        <v>3</v>
      </c>
      <c r="E225" s="16" t="s">
        <v>4</v>
      </c>
      <c r="F225" s="16" t="s">
        <v>5</v>
      </c>
      <c r="G225" s="16" t="s">
        <v>6</v>
      </c>
      <c r="H225" s="16" t="s">
        <v>7</v>
      </c>
      <c r="I225" s="17" t="s">
        <v>8</v>
      </c>
      <c r="J225" s="17" t="s">
        <v>9</v>
      </c>
      <c r="K225" s="18" t="s">
        <v>10</v>
      </c>
      <c r="L225" s="60" t="s">
        <v>26</v>
      </c>
      <c r="M225" s="61"/>
      <c r="N225" s="61"/>
      <c r="O225" s="16" t="s">
        <v>12</v>
      </c>
      <c r="P225" s="16" t="s">
        <v>13</v>
      </c>
      <c r="Q225" s="16" t="s">
        <v>14</v>
      </c>
      <c r="R225" s="16" t="s">
        <v>15</v>
      </c>
      <c r="S225" s="16" t="s">
        <v>16</v>
      </c>
      <c r="T225" s="16" t="s">
        <v>18</v>
      </c>
      <c r="U225" s="16" t="s">
        <v>19</v>
      </c>
      <c r="V225" t="s">
        <v>27</v>
      </c>
      <c r="W225" s="61"/>
      <c r="X225" s="61"/>
      <c r="Y225" s="61"/>
      <c r="Z225" s="61"/>
      <c r="AA225" s="61"/>
    </row>
    <row r="226" ht="12.75" spans="1:27">
      <c r="A226" s="21">
        <v>45944</v>
      </c>
      <c r="B226" s="27">
        <f>2377+58</f>
        <v>2435</v>
      </c>
      <c r="C226" s="27">
        <v>4112373.14</v>
      </c>
      <c r="D226" s="29">
        <v>1515.23</v>
      </c>
      <c r="E226" s="41">
        <f t="shared" ref="E226:E289" si="22">(D226*0.8)*182.5/C226</f>
        <v>0.0537946272064212</v>
      </c>
      <c r="F226" s="23">
        <f t="shared" ref="F226:F289" si="23">(D226*0.8)*267/C226</f>
        <v>0.0787022765156957</v>
      </c>
      <c r="G226" s="23">
        <f t="shared" ref="G226:G289" si="24">E226*0.7+F226*0.3</f>
        <v>0.0612669219992036</v>
      </c>
      <c r="H226" s="24">
        <f t="shared" ref="H226:H289" si="25">D226/B226</f>
        <v>0.622271047227926</v>
      </c>
      <c r="I226" s="27">
        <f>2383+342-58</f>
        <v>2667</v>
      </c>
      <c r="J226" s="27">
        <f>554859.72-43792.18+4126634.54+222707.9</f>
        <v>4860409.98</v>
      </c>
      <c r="K226" s="26">
        <f t="shared" ref="K226:K239" si="26">(J226-3500000)/3500000</f>
        <v>0.388688565714286</v>
      </c>
      <c r="O226" s="27" t="s">
        <v>28</v>
      </c>
      <c r="P226" s="62">
        <v>2018.38</v>
      </c>
      <c r="Q226" s="62">
        <v>21217.3</v>
      </c>
      <c r="R226" s="62">
        <f t="shared" ref="R226:R235" si="27">P226*9</f>
        <v>18165.42</v>
      </c>
      <c r="S226" s="62">
        <f t="shared" ref="S226:S235" si="28">Q226-P226-R226</f>
        <v>1033.5</v>
      </c>
      <c r="T226" s="63">
        <f t="shared" ref="T226:T235" si="29">(R226*12)/3500000</f>
        <v>0.06228144</v>
      </c>
      <c r="U226" s="64">
        <f t="shared" ref="U226:U235" si="30">((Q226-P226)*12*0.99)/3500000</f>
        <v>0.0651666198857143</v>
      </c>
      <c r="V226" s="62">
        <f t="shared" ref="V226:V235" si="31">Q226-P226</f>
        <v>19198.92</v>
      </c>
    </row>
    <row r="227" ht="12.75" spans="1:27">
      <c r="A227" s="21">
        <v>45945</v>
      </c>
      <c r="B227" s="27">
        <v>2390</v>
      </c>
      <c r="C227" s="27">
        <v>4087145.95</v>
      </c>
      <c r="D227" s="29">
        <v>1526.13</v>
      </c>
      <c r="E227" s="41">
        <f t="shared" si="22"/>
        <v>0.0545160321470781</v>
      </c>
      <c r="F227" s="23">
        <f t="shared" si="23"/>
        <v>0.0797577018261362</v>
      </c>
      <c r="G227" s="23">
        <f t="shared" si="24"/>
        <v>0.0620885330507955</v>
      </c>
      <c r="H227" s="24">
        <f t="shared" si="25"/>
        <v>0.638548117154812</v>
      </c>
      <c r="I227" s="27">
        <f>335+2390-58</f>
        <v>2667</v>
      </c>
      <c r="J227" s="27">
        <f>545992.15+4087145.95-43579.39+244981.47</f>
        <v>4834540.18</v>
      </c>
      <c r="K227" s="26">
        <f t="shared" si="26"/>
        <v>0.381297194285714</v>
      </c>
      <c r="O227" s="27" t="s">
        <v>29</v>
      </c>
      <c r="P227" s="62">
        <v>7551.35</v>
      </c>
      <c r="Q227" s="62">
        <v>106705.5</v>
      </c>
      <c r="R227" s="62">
        <f t="shared" si="27"/>
        <v>67962.15</v>
      </c>
      <c r="S227" s="62">
        <f t="shared" si="28"/>
        <v>31192</v>
      </c>
      <c r="T227" s="63">
        <f t="shared" si="29"/>
        <v>0.233013085714286</v>
      </c>
      <c r="U227" s="64">
        <f t="shared" si="30"/>
        <v>0.336557514857143</v>
      </c>
      <c r="V227" s="62">
        <f t="shared" si="31"/>
        <v>99154.15</v>
      </c>
    </row>
    <row r="228" ht="12.75" spans="1:27">
      <c r="A228" s="21">
        <v>45946</v>
      </c>
      <c r="B228" s="27">
        <v>2374</v>
      </c>
      <c r="C228" s="27">
        <v>4109925.08</v>
      </c>
      <c r="D228" s="29">
        <v>1517.01</v>
      </c>
      <c r="E228" s="41">
        <f t="shared" si="22"/>
        <v>0.0538899020514505</v>
      </c>
      <c r="F228" s="23">
        <f t="shared" si="23"/>
        <v>0.0788416649191084</v>
      </c>
      <c r="G228" s="23">
        <f t="shared" si="24"/>
        <v>0.0613754309117479</v>
      </c>
      <c r="H228" s="24">
        <f t="shared" si="25"/>
        <v>0.639010109519798</v>
      </c>
      <c r="I228" s="27">
        <f>2374+331-60</f>
        <v>2645</v>
      </c>
      <c r="J228" s="27">
        <f>4109925.08+544279.89-44683.61+329174.39</f>
        <v>4938695.75</v>
      </c>
      <c r="K228" s="26">
        <f t="shared" si="26"/>
        <v>0.411055928571428</v>
      </c>
      <c r="O228" s="27" t="s">
        <v>30</v>
      </c>
      <c r="P228" s="62">
        <v>10974.94</v>
      </c>
      <c r="Q228" s="62">
        <v>206272.39</v>
      </c>
      <c r="R228" s="62">
        <f t="shared" si="27"/>
        <v>98774.46</v>
      </c>
      <c r="S228" s="62">
        <f t="shared" si="28"/>
        <v>96522.99</v>
      </c>
      <c r="T228" s="63">
        <f t="shared" si="29"/>
        <v>0.338655291428571</v>
      </c>
      <c r="U228" s="64">
        <f t="shared" si="30"/>
        <v>0.662895344571429</v>
      </c>
      <c r="V228" s="62">
        <f t="shared" si="31"/>
        <v>195297.45</v>
      </c>
      <c r="W228" s="27" t="s">
        <v>31</v>
      </c>
    </row>
    <row r="229" ht="12.75" spans="1:27">
      <c r="A229" s="21">
        <v>45947</v>
      </c>
      <c r="B229" s="27">
        <v>2348</v>
      </c>
      <c r="C229" s="27">
        <v>3993476.99</v>
      </c>
      <c r="D229" s="29">
        <v>1493.85</v>
      </c>
      <c r="E229" s="41">
        <f t="shared" si="22"/>
        <v>0.0546145878757148</v>
      </c>
      <c r="F229" s="23">
        <f t="shared" si="23"/>
        <v>0.0799018902072101</v>
      </c>
      <c r="G229" s="23">
        <f t="shared" si="24"/>
        <v>0.0622007785751634</v>
      </c>
      <c r="H229" s="24">
        <f t="shared" si="25"/>
        <v>0.636222316865417</v>
      </c>
      <c r="I229" s="27">
        <f>2348+286</f>
        <v>2634</v>
      </c>
      <c r="J229" s="27">
        <f>3993476.99+611670.44+360000</f>
        <v>4965147.43</v>
      </c>
      <c r="K229" s="26">
        <f t="shared" si="26"/>
        <v>0.418613551428571</v>
      </c>
      <c r="O229" s="27" t="s">
        <v>32</v>
      </c>
      <c r="P229" s="62">
        <v>8420.19</v>
      </c>
      <c r="Q229" s="62">
        <v>92680.51</v>
      </c>
      <c r="R229" s="62">
        <f t="shared" si="27"/>
        <v>75781.71</v>
      </c>
      <c r="S229" s="62">
        <f t="shared" si="28"/>
        <v>8478.60999999999</v>
      </c>
      <c r="T229" s="63">
        <f t="shared" si="29"/>
        <v>0.259823005714286</v>
      </c>
      <c r="U229" s="64">
        <f t="shared" si="30"/>
        <v>0.286003600457143</v>
      </c>
      <c r="V229" s="62">
        <f t="shared" si="31"/>
        <v>84260.32</v>
      </c>
    </row>
    <row r="230" ht="12.75" spans="1:27">
      <c r="A230" s="21">
        <v>45948</v>
      </c>
      <c r="B230" s="27">
        <v>2317</v>
      </c>
      <c r="C230" s="27">
        <v>3895091.08</v>
      </c>
      <c r="D230" s="29">
        <v>1469.54</v>
      </c>
      <c r="E230" s="41">
        <f t="shared" si="22"/>
        <v>0.0550828813995282</v>
      </c>
      <c r="F230" s="23">
        <f t="shared" si="23"/>
        <v>0.0805870100475289</v>
      </c>
      <c r="G230" s="23">
        <f t="shared" si="24"/>
        <v>0.0627341199939284</v>
      </c>
      <c r="H230" s="24">
        <f t="shared" si="25"/>
        <v>0.634242555028053</v>
      </c>
      <c r="I230" s="27">
        <f>2317+315</f>
        <v>2632</v>
      </c>
      <c r="J230" s="27">
        <f>3895091.08+700767.12+365553.75</f>
        <v>4961411.95</v>
      </c>
      <c r="K230" s="26">
        <f t="shared" si="26"/>
        <v>0.417546271428571</v>
      </c>
      <c r="O230" s="27" t="s">
        <v>33</v>
      </c>
      <c r="P230" s="62">
        <v>8830.19</v>
      </c>
      <c r="Q230" s="62">
        <v>97954.59</v>
      </c>
      <c r="R230" s="62">
        <f t="shared" si="27"/>
        <v>79471.71</v>
      </c>
      <c r="S230" s="62">
        <f t="shared" si="28"/>
        <v>9652.68999999999</v>
      </c>
      <c r="T230" s="63">
        <f t="shared" si="29"/>
        <v>0.272474434285714</v>
      </c>
      <c r="U230" s="64">
        <f t="shared" si="30"/>
        <v>0.302513677714286</v>
      </c>
      <c r="V230" s="62">
        <f t="shared" si="31"/>
        <v>89124.4</v>
      </c>
    </row>
    <row r="231" ht="12.75" spans="1:27">
      <c r="A231" s="21">
        <v>45950</v>
      </c>
      <c r="B231" s="27">
        <v>2240</v>
      </c>
      <c r="C231" s="27">
        <v>3466826.96</v>
      </c>
      <c r="D231" s="29">
        <v>1439.53</v>
      </c>
      <c r="E231" s="41">
        <f t="shared" si="22"/>
        <v>0.0606235564754002</v>
      </c>
      <c r="F231" s="23">
        <f t="shared" si="23"/>
        <v>0.0886930935831882</v>
      </c>
      <c r="G231" s="23">
        <f t="shared" si="24"/>
        <v>0.0690444176077366</v>
      </c>
      <c r="H231" s="24">
        <f t="shared" si="25"/>
        <v>0.642647321428571</v>
      </c>
      <c r="I231" s="27">
        <f>2240+372</f>
        <v>2612</v>
      </c>
      <c r="J231" s="27">
        <f>940929.35+3468871.96+463274.53</f>
        <v>4873075.84</v>
      </c>
      <c r="K231" s="26">
        <f t="shared" si="26"/>
        <v>0.392307382857143</v>
      </c>
      <c r="L231" s="27">
        <v>1600</v>
      </c>
      <c r="P231" s="65"/>
      <c r="Q231" s="65"/>
      <c r="R231" s="62">
        <f t="shared" si="27"/>
        <v>0</v>
      </c>
      <c r="S231" s="62">
        <f t="shared" si="28"/>
        <v>0</v>
      </c>
      <c r="T231" s="63">
        <f t="shared" si="29"/>
        <v>0</v>
      </c>
      <c r="U231" s="64">
        <f t="shared" si="30"/>
        <v>0</v>
      </c>
      <c r="V231" s="62">
        <f t="shared" si="31"/>
        <v>0</v>
      </c>
    </row>
    <row r="232" ht="12.75" spans="1:27">
      <c r="A232" s="21">
        <v>45951</v>
      </c>
      <c r="B232" s="27">
        <v>2180</v>
      </c>
      <c r="C232" s="27">
        <v>2157389.76</v>
      </c>
      <c r="D232" s="29">
        <v>1397.05</v>
      </c>
      <c r="E232" s="41">
        <f t="shared" si="22"/>
        <v>0.0945444832370021</v>
      </c>
      <c r="F232" s="23">
        <f t="shared" si="23"/>
        <v>0.138319874105641</v>
      </c>
      <c r="G232" s="23">
        <f t="shared" si="24"/>
        <v>0.107677100497594</v>
      </c>
      <c r="H232" s="24">
        <f t="shared" si="25"/>
        <v>0.640848623853211</v>
      </c>
      <c r="I232" s="27">
        <f>423+2180</f>
        <v>2603</v>
      </c>
      <c r="J232" s="27">
        <f>748564.89+2157389.76+527727.71</f>
        <v>3433682.36</v>
      </c>
      <c r="K232" s="26">
        <f t="shared" si="26"/>
        <v>-0.0189478971428572</v>
      </c>
      <c r="L232" s="27">
        <v>1000</v>
      </c>
      <c r="P232" s="65"/>
      <c r="Q232" s="65"/>
      <c r="R232" s="62">
        <f t="shared" si="27"/>
        <v>0</v>
      </c>
      <c r="S232" s="62">
        <f t="shared" si="28"/>
        <v>0</v>
      </c>
      <c r="T232" s="63">
        <f t="shared" si="29"/>
        <v>0</v>
      </c>
      <c r="U232" s="64">
        <f t="shared" si="30"/>
        <v>0</v>
      </c>
      <c r="V232" s="62">
        <f t="shared" si="31"/>
        <v>0</v>
      </c>
    </row>
    <row r="233" ht="19" customHeight="1" spans="1:27">
      <c r="A233" s="21">
        <v>45951</v>
      </c>
      <c r="B233" s="27">
        <v>2180</v>
      </c>
      <c r="C233" s="27">
        <v>2157389.76</v>
      </c>
      <c r="D233" s="29">
        <v>1397.05</v>
      </c>
      <c r="E233" s="41">
        <f t="shared" si="22"/>
        <v>0.0945444832370021</v>
      </c>
      <c r="F233" s="23">
        <f t="shared" si="23"/>
        <v>0.138319874105641</v>
      </c>
      <c r="G233" s="23">
        <f t="shared" si="24"/>
        <v>0.107677100497594</v>
      </c>
      <c r="H233" s="24">
        <f t="shared" si="25"/>
        <v>0.640848623853211</v>
      </c>
      <c r="I233" s="27">
        <f>427+2175</f>
        <v>2602</v>
      </c>
      <c r="J233" s="27">
        <f>685034.55+1860244.88+527727.71</f>
        <v>3073007.14</v>
      </c>
      <c r="K233" s="26">
        <f t="shared" si="26"/>
        <v>-0.12199796</v>
      </c>
      <c r="N233" s="27"/>
      <c r="P233" s="65"/>
      <c r="Q233" s="65"/>
      <c r="R233" s="62">
        <f t="shared" si="27"/>
        <v>0</v>
      </c>
      <c r="S233" s="62">
        <f t="shared" si="28"/>
        <v>0</v>
      </c>
      <c r="T233" s="63">
        <f t="shared" si="29"/>
        <v>0</v>
      </c>
      <c r="U233" s="64">
        <f t="shared" si="30"/>
        <v>0</v>
      </c>
      <c r="V233" s="62">
        <f t="shared" si="31"/>
        <v>0</v>
      </c>
      <c r="X233" s="27"/>
      <c r="Y233" s="27"/>
      <c r="Z233" s="27"/>
      <c r="AA233" s="27"/>
    </row>
    <row r="234" ht="12.75" spans="1:27">
      <c r="A234" s="66">
        <v>45953</v>
      </c>
      <c r="B234" s="27">
        <v>2030</v>
      </c>
      <c r="C234" s="27">
        <v>1357570.62</v>
      </c>
      <c r="D234" s="29">
        <v>1299.55</v>
      </c>
      <c r="E234" s="41">
        <f t="shared" si="22"/>
        <v>0.139760169529892</v>
      </c>
      <c r="F234" s="23">
        <f t="shared" si="23"/>
        <v>0.204471042545102</v>
      </c>
      <c r="G234" s="23">
        <f t="shared" si="24"/>
        <v>0.159173431434455</v>
      </c>
      <c r="H234" s="24">
        <f t="shared" si="25"/>
        <v>0.640172413793103</v>
      </c>
      <c r="I234" s="27">
        <f>567+2030</f>
        <v>2597</v>
      </c>
      <c r="J234" s="27">
        <f>585038.19+1357570.62+527727.71</f>
        <v>2470336.52</v>
      </c>
      <c r="K234" s="26">
        <f t="shared" si="26"/>
        <v>-0.294189565714286</v>
      </c>
      <c r="L234" s="27">
        <v>600</v>
      </c>
      <c r="P234" s="65"/>
      <c r="Q234" s="65"/>
      <c r="R234" s="62">
        <f t="shared" si="27"/>
        <v>0</v>
      </c>
      <c r="S234" s="62">
        <f t="shared" si="28"/>
        <v>0</v>
      </c>
      <c r="T234" s="63">
        <f t="shared" si="29"/>
        <v>0</v>
      </c>
      <c r="U234" s="64">
        <f t="shared" si="30"/>
        <v>0</v>
      </c>
      <c r="V234" s="62">
        <f t="shared" si="31"/>
        <v>0</v>
      </c>
    </row>
    <row r="235" ht="12.75" spans="1:27">
      <c r="A235" s="66">
        <v>45954</v>
      </c>
      <c r="B235" s="27">
        <v>1915</v>
      </c>
      <c r="C235" s="27">
        <v>1525221.74</v>
      </c>
      <c r="D235" s="29">
        <v>1244.73</v>
      </c>
      <c r="E235" s="41">
        <f t="shared" si="22"/>
        <v>0.119150268602911</v>
      </c>
      <c r="F235" s="23">
        <f t="shared" si="23"/>
        <v>0.17431847516152</v>
      </c>
      <c r="G235" s="23">
        <f t="shared" si="24"/>
        <v>0.135700730570494</v>
      </c>
      <c r="H235" s="24">
        <f t="shared" si="25"/>
        <v>0.64998955613577</v>
      </c>
      <c r="I235" s="27">
        <f>658+1915</f>
        <v>2573</v>
      </c>
      <c r="J235" s="27">
        <f>790364.84+1525221.74+527727.71+7261</f>
        <v>2850575.29</v>
      </c>
      <c r="K235" s="26">
        <f t="shared" si="26"/>
        <v>-0.185549917142857</v>
      </c>
      <c r="L235" s="27">
        <v>821</v>
      </c>
      <c r="P235" s="65"/>
      <c r="Q235" s="65"/>
      <c r="R235" s="62">
        <f t="shared" si="27"/>
        <v>0</v>
      </c>
      <c r="S235" s="62">
        <f t="shared" si="28"/>
        <v>0</v>
      </c>
      <c r="T235" s="63">
        <f t="shared" si="29"/>
        <v>0</v>
      </c>
      <c r="U235" s="64">
        <f t="shared" si="30"/>
        <v>0</v>
      </c>
      <c r="V235" s="62">
        <f t="shared" si="31"/>
        <v>0</v>
      </c>
    </row>
    <row r="236" ht="12.75" spans="1:27">
      <c r="A236" s="66">
        <v>45955</v>
      </c>
      <c r="B236" s="27">
        <v>1947</v>
      </c>
      <c r="C236" s="27">
        <v>1651154.22</v>
      </c>
      <c r="D236" s="29">
        <v>1317.88</v>
      </c>
      <c r="E236" s="41">
        <f t="shared" si="22"/>
        <v>0.116530895581637</v>
      </c>
      <c r="F236" s="23">
        <f t="shared" si="23"/>
        <v>0.170486296549574</v>
      </c>
      <c r="G236" s="23">
        <f t="shared" si="24"/>
        <v>0.132717515872018</v>
      </c>
      <c r="H236" s="24">
        <f t="shared" si="25"/>
        <v>0.676877247046739</v>
      </c>
      <c r="I236" s="27">
        <f>977+1947</f>
        <v>2924</v>
      </c>
      <c r="J236" s="27">
        <f>1064135.73+1651154.22+201244.28</f>
        <v>2916534.23</v>
      </c>
      <c r="K236" s="26">
        <f t="shared" si="26"/>
        <v>-0.166704505714286</v>
      </c>
      <c r="L236" s="27">
        <v>1010</v>
      </c>
    </row>
    <row r="237" ht="12.75" spans="1:27">
      <c r="A237" s="66">
        <v>45959</v>
      </c>
      <c r="B237" s="27">
        <v>2011</v>
      </c>
      <c r="C237" s="27">
        <v>1684640.44</v>
      </c>
      <c r="D237" s="29">
        <v>1483.3</v>
      </c>
      <c r="E237" s="41">
        <f t="shared" si="22"/>
        <v>0.128550754723661</v>
      </c>
      <c r="F237" s="23">
        <f t="shared" si="23"/>
        <v>0.188071515129959</v>
      </c>
      <c r="G237" s="23">
        <f t="shared" si="24"/>
        <v>0.14640698284555</v>
      </c>
      <c r="H237" s="24">
        <f t="shared" si="25"/>
        <v>0.737593237195425</v>
      </c>
      <c r="I237" s="27">
        <f>919+2011</f>
        <v>2930</v>
      </c>
      <c r="J237" s="27">
        <f>871873.22+1684640.44+175690.5+7490.26</f>
        <v>2739694.42</v>
      </c>
      <c r="K237" s="26">
        <f t="shared" si="26"/>
        <v>-0.217230165714286</v>
      </c>
      <c r="L237" s="27">
        <v>878</v>
      </c>
    </row>
    <row r="238" ht="12.75" spans="1:27">
      <c r="A238" s="66">
        <v>45960</v>
      </c>
      <c r="B238" s="27">
        <v>2010</v>
      </c>
      <c r="C238" s="27">
        <v>1821640</v>
      </c>
      <c r="D238" s="29">
        <v>1527.87</v>
      </c>
      <c r="E238" s="41">
        <f t="shared" si="22"/>
        <v>0.122455051492062</v>
      </c>
      <c r="F238" s="23">
        <f t="shared" si="23"/>
        <v>0.179153417799346</v>
      </c>
      <c r="G238" s="23">
        <f t="shared" si="24"/>
        <v>0.139464561384247</v>
      </c>
      <c r="H238" s="24">
        <f t="shared" si="25"/>
        <v>0.760134328358209</v>
      </c>
      <c r="I238" s="27">
        <f>2010+921</f>
        <v>2931</v>
      </c>
      <c r="J238" s="27">
        <f>940315.4+1821640+155087.17+11554.94</f>
        <v>2928597.51</v>
      </c>
      <c r="K238" s="26">
        <f t="shared" si="26"/>
        <v>-0.163257854285714</v>
      </c>
      <c r="L238" s="27">
        <v>923.2</v>
      </c>
    </row>
    <row r="239" ht="12.75" spans="1:27">
      <c r="A239" s="66">
        <v>45961</v>
      </c>
      <c r="B239" s="27">
        <v>2114</v>
      </c>
      <c r="C239" s="27">
        <v>2139899.92</v>
      </c>
      <c r="D239" s="29">
        <v>1689.45</v>
      </c>
      <c r="E239" s="41">
        <f t="shared" si="22"/>
        <v>0.115266932670384</v>
      </c>
      <c r="F239" s="23">
        <f t="shared" si="23"/>
        <v>0.168637101495849</v>
      </c>
      <c r="G239" s="23">
        <f t="shared" si="24"/>
        <v>0.131277983318024</v>
      </c>
      <c r="H239" s="24">
        <f t="shared" si="25"/>
        <v>0.799172185430464</v>
      </c>
      <c r="I239" s="27">
        <f>936+2114</f>
        <v>3050</v>
      </c>
      <c r="J239" s="27">
        <f>1128582.81+2139899.92+24441.75</f>
        <v>3292924.48</v>
      </c>
      <c r="K239" s="26">
        <f t="shared" si="26"/>
        <v>-0.0591644342857143</v>
      </c>
      <c r="L239" s="27">
        <v>1050.81</v>
      </c>
    </row>
    <row r="240" ht="12.75" spans="1:27">
      <c r="A240" s="66">
        <v>45962</v>
      </c>
      <c r="B240" s="27">
        <v>2122</v>
      </c>
      <c r="C240" s="27">
        <v>2283400.84</v>
      </c>
      <c r="D240" s="29">
        <v>1733.55</v>
      </c>
      <c r="E240" s="41">
        <f t="shared" si="22"/>
        <v>0.110842693742725</v>
      </c>
      <c r="F240" s="23">
        <f t="shared" si="23"/>
        <v>0.162164379338671</v>
      </c>
      <c r="G240" s="23">
        <f t="shared" si="24"/>
        <v>0.126239199421508</v>
      </c>
      <c r="H240" s="24">
        <f t="shared" si="25"/>
        <v>0.816941564561734</v>
      </c>
      <c r="I240" s="27">
        <f>983+2122</f>
        <v>3105</v>
      </c>
      <c r="J240" s="27">
        <f>1223429.39+2283400.84+146027.75</f>
        <v>3652857.98</v>
      </c>
      <c r="K240" s="26">
        <f>(J240-3800000)/3800000</f>
        <v>-0.0387215842105264</v>
      </c>
      <c r="L240" s="27">
        <v>1093.88</v>
      </c>
    </row>
    <row r="241" ht="12.75" spans="1:12">
      <c r="A241" s="66">
        <v>45962</v>
      </c>
      <c r="B241" s="27">
        <v>2219</v>
      </c>
      <c r="C241" s="27">
        <v>2623516.76</v>
      </c>
      <c r="D241" s="29">
        <v>1839.39</v>
      </c>
      <c r="E241" s="41">
        <f t="shared" si="22"/>
        <v>0.102362959556622</v>
      </c>
      <c r="F241" s="23">
        <f t="shared" si="23"/>
        <v>0.149758412063661</v>
      </c>
      <c r="G241" s="23">
        <f t="shared" si="24"/>
        <v>0.116581595308734</v>
      </c>
      <c r="H241" s="24">
        <f t="shared" si="25"/>
        <v>0.828927444794953</v>
      </c>
      <c r="I241" s="27">
        <f>925+2219</f>
        <v>3144</v>
      </c>
      <c r="J241" s="27">
        <f>1408184.96+2623516.76+75460.75</f>
        <v>4107162.47</v>
      </c>
      <c r="K241" s="26">
        <f>(J241-3800000)/3800000</f>
        <v>0.0808322289473684</v>
      </c>
      <c r="L241" s="27">
        <v>1232.36</v>
      </c>
    </row>
    <row r="242" ht="12.75" spans="1:12">
      <c r="A242" s="66">
        <v>45963</v>
      </c>
      <c r="B242" s="27">
        <v>2494</v>
      </c>
      <c r="C242" s="27">
        <v>2846744.8</v>
      </c>
      <c r="D242" s="29">
        <v>2194.24</v>
      </c>
      <c r="E242" s="41">
        <f t="shared" si="22"/>
        <v>0.11253521566106</v>
      </c>
      <c r="F242" s="23">
        <f t="shared" si="23"/>
        <v>0.164640562090427</v>
      </c>
      <c r="G242" s="23">
        <f t="shared" si="24"/>
        <v>0.12816681958987</v>
      </c>
      <c r="H242" s="24">
        <f t="shared" si="25"/>
        <v>0.879807538091419</v>
      </c>
      <c r="I242" s="27">
        <f>709+2494</f>
        <v>3203</v>
      </c>
      <c r="J242" s="27">
        <f>1127067.34+2846744.8+376.62</f>
        <v>3974188.76</v>
      </c>
      <c r="K242" s="26">
        <f>(J242-3800000)/3800000</f>
        <v>0.045839147368421</v>
      </c>
      <c r="L242" s="27">
        <v>1202.4</v>
      </c>
    </row>
    <row r="243" ht="12.75" spans="1:12">
      <c r="A243" s="66">
        <v>45964</v>
      </c>
      <c r="B243" s="27">
        <f>2600</f>
        <v>2600</v>
      </c>
      <c r="C243" s="27">
        <v>2994312.33</v>
      </c>
      <c r="D243" s="29">
        <v>2349.08</v>
      </c>
      <c r="E243" s="41">
        <f t="shared" si="22"/>
        <v>0.114539046766708</v>
      </c>
      <c r="F243" s="23">
        <f t="shared" si="23"/>
        <v>0.167572194447731</v>
      </c>
      <c r="G243" s="23">
        <f t="shared" si="24"/>
        <v>0.130448991071015</v>
      </c>
      <c r="H243" s="24">
        <f t="shared" si="25"/>
        <v>0.903492307692308</v>
      </c>
      <c r="I243" s="27">
        <f>815+2600</f>
        <v>3415</v>
      </c>
      <c r="J243" s="27">
        <f>1410530.83+2994312.33+38450+6922.62+15940.08</f>
        <v>4466155.86</v>
      </c>
      <c r="K243" s="26">
        <f t="shared" ref="K243:K306" si="32">(J243-4200000)/4200000</f>
        <v>0.0633704428571429</v>
      </c>
      <c r="L243" s="27">
        <v>1197</v>
      </c>
    </row>
    <row r="244" ht="12.75" spans="1:12">
      <c r="A244" s="66">
        <v>45965</v>
      </c>
      <c r="B244" s="27">
        <v>2642</v>
      </c>
      <c r="C244" s="27">
        <v>2933292.98</v>
      </c>
      <c r="D244" s="29">
        <v>2398.19</v>
      </c>
      <c r="E244" s="41">
        <f t="shared" si="22"/>
        <v>0.119366098915902</v>
      </c>
      <c r="F244" s="23">
        <f t="shared" si="23"/>
        <v>0.174634237866004</v>
      </c>
      <c r="G244" s="23">
        <f t="shared" si="24"/>
        <v>0.135946540600932</v>
      </c>
      <c r="H244" s="24">
        <f t="shared" si="25"/>
        <v>0.907717638152915</v>
      </c>
      <c r="I244" s="27">
        <f>831+2642</f>
        <v>3473</v>
      </c>
      <c r="J244" s="27">
        <f>2933292.98+1271489.98</f>
        <v>4204782.96</v>
      </c>
      <c r="K244" s="26">
        <f t="shared" si="32"/>
        <v>0.00113879999999999</v>
      </c>
      <c r="L244" s="27">
        <v>1145</v>
      </c>
    </row>
    <row r="245" ht="12.75" spans="1:12">
      <c r="A245" s="66">
        <v>45966</v>
      </c>
      <c r="B245" s="27">
        <v>2634</v>
      </c>
      <c r="C245" s="27">
        <v>3038620.37</v>
      </c>
      <c r="D245" s="29">
        <v>2425.4</v>
      </c>
      <c r="E245" s="41">
        <f t="shared" si="22"/>
        <v>0.116535913303313</v>
      </c>
      <c r="F245" s="23">
        <f t="shared" si="23"/>
        <v>0.170493637545121</v>
      </c>
      <c r="G245" s="23">
        <f t="shared" si="24"/>
        <v>0.132723230575855</v>
      </c>
      <c r="H245" s="35">
        <f t="shared" si="25"/>
        <v>0.920804859529233</v>
      </c>
      <c r="I245" s="27">
        <f>843+2634</f>
        <v>3477</v>
      </c>
      <c r="J245" s="27">
        <f>1323647.19+3038620.37+47400</f>
        <v>4409667.56</v>
      </c>
      <c r="K245" s="26">
        <f t="shared" si="32"/>
        <v>0.0499208476190477</v>
      </c>
      <c r="L245" s="27">
        <v>1201.45</v>
      </c>
    </row>
    <row r="246" ht="12.75" spans="1:12">
      <c r="A246" s="66">
        <v>45967</v>
      </c>
      <c r="B246" s="27">
        <v>2625</v>
      </c>
      <c r="C246" s="27">
        <v>3118864.21</v>
      </c>
      <c r="D246" s="29">
        <v>2419.98</v>
      </c>
      <c r="E246" s="41">
        <f t="shared" si="22"/>
        <v>0.113283893177254</v>
      </c>
      <c r="F246" s="23">
        <f t="shared" si="23"/>
        <v>0.165735887552475</v>
      </c>
      <c r="G246" s="23">
        <f t="shared" si="24"/>
        <v>0.12901949148982</v>
      </c>
      <c r="H246" s="24">
        <f t="shared" si="25"/>
        <v>0.921897142857143</v>
      </c>
      <c r="I246" s="27">
        <f>2625+916</f>
        <v>3541</v>
      </c>
      <c r="J246" s="27">
        <f>3118864.21+1414432.98+3761.88</f>
        <v>4537059.07</v>
      </c>
      <c r="K246" s="26">
        <f t="shared" si="32"/>
        <v>0.0802521595238094</v>
      </c>
      <c r="L246" s="27">
        <v>1224.69</v>
      </c>
    </row>
    <row r="247" ht="12.75" spans="1:12">
      <c r="A247" s="66">
        <v>45968</v>
      </c>
      <c r="B247" s="27">
        <f>2695</f>
        <v>2695</v>
      </c>
      <c r="C247" s="27">
        <v>3096163.56</v>
      </c>
      <c r="D247" s="29">
        <v>2472.59</v>
      </c>
      <c r="E247" s="41">
        <f t="shared" si="22"/>
        <v>0.116595306741482</v>
      </c>
      <c r="F247" s="23">
        <f t="shared" si="23"/>
        <v>0.170580530958771</v>
      </c>
      <c r="G247" s="23">
        <f t="shared" si="24"/>
        <v>0.132790874006669</v>
      </c>
      <c r="H247" s="24">
        <f t="shared" si="25"/>
        <v>0.917473098330241</v>
      </c>
      <c r="I247" s="27">
        <f>920+2695-59</f>
        <v>3556</v>
      </c>
      <c r="J247" s="27">
        <f>1382704.84+3096163.56+2540.88-16099</f>
        <v>4465310.28</v>
      </c>
      <c r="K247" s="26">
        <f t="shared" si="32"/>
        <v>0.0631691142857144</v>
      </c>
      <c r="L247" s="27">
        <v>1210.86</v>
      </c>
    </row>
    <row r="248" ht="12.75" spans="1:12">
      <c r="A248" s="66">
        <v>45969</v>
      </c>
      <c r="B248" s="27">
        <v>2869</v>
      </c>
      <c r="C248" s="27">
        <v>3411360.81</v>
      </c>
      <c r="D248" s="29">
        <v>2728.28</v>
      </c>
      <c r="E248" s="41">
        <f t="shared" si="22"/>
        <v>0.116765391345397</v>
      </c>
      <c r="F248" s="23">
        <f t="shared" si="23"/>
        <v>0.170829367064224</v>
      </c>
      <c r="G248" s="23">
        <f t="shared" si="24"/>
        <v>0.132984584061045</v>
      </c>
      <c r="H248" s="24">
        <f t="shared" si="25"/>
        <v>0.950951551063088</v>
      </c>
      <c r="I248" s="27">
        <f>680+2869</f>
        <v>3549</v>
      </c>
      <c r="J248" s="27">
        <f>992004.92+3411360.81</f>
        <v>4403365.73</v>
      </c>
      <c r="K248" s="26">
        <f t="shared" si="32"/>
        <v>0.048420411904762</v>
      </c>
      <c r="L248" s="27">
        <v>1204.75</v>
      </c>
    </row>
    <row r="249" ht="12.75" spans="1:12">
      <c r="A249" s="66">
        <v>45970</v>
      </c>
      <c r="B249" s="27">
        <v>2903</v>
      </c>
      <c r="C249" s="27">
        <v>3405572.44</v>
      </c>
      <c r="D249" s="29">
        <v>2737.92</v>
      </c>
      <c r="E249" s="41">
        <f t="shared" si="22"/>
        <v>0.117377130289438</v>
      </c>
      <c r="F249" s="23">
        <f t="shared" si="23"/>
        <v>0.171724349519343</v>
      </c>
      <c r="G249" s="23">
        <f t="shared" si="24"/>
        <v>0.13368129605841</v>
      </c>
      <c r="H249" s="24">
        <f t="shared" si="25"/>
        <v>0.943134688253531</v>
      </c>
      <c r="I249" s="27">
        <f>637+2903</f>
        <v>3540</v>
      </c>
      <c r="J249" s="27">
        <f>864431.09+3405572.44</f>
        <v>4270003.53</v>
      </c>
      <c r="K249" s="26">
        <f t="shared" si="32"/>
        <v>0.0166675071428572</v>
      </c>
      <c r="L249" s="27">
        <v>1171.39</v>
      </c>
    </row>
    <row r="250" ht="12.75" spans="1:12">
      <c r="A250" s="66">
        <v>45971</v>
      </c>
      <c r="B250" s="27">
        <v>3004</v>
      </c>
      <c r="C250" s="27">
        <v>3510259.45</v>
      </c>
      <c r="D250" s="29">
        <v>2848.05</v>
      </c>
      <c r="E250" s="41">
        <f t="shared" si="22"/>
        <v>0.118457141394491</v>
      </c>
      <c r="F250" s="23">
        <f t="shared" si="23"/>
        <v>0.173304420560708</v>
      </c>
      <c r="G250" s="23">
        <f t="shared" si="24"/>
        <v>0.134911325144356</v>
      </c>
      <c r="H250" s="24">
        <f t="shared" si="25"/>
        <v>0.948085885486019</v>
      </c>
      <c r="I250" s="27">
        <f>539+3004</f>
        <v>3543</v>
      </c>
      <c r="J250" s="27">
        <f>732011.09+3510259.45</f>
        <v>4242270.54</v>
      </c>
      <c r="K250" s="26">
        <f t="shared" si="32"/>
        <v>0.0100644142857143</v>
      </c>
      <c r="L250" s="27">
        <v>1170.78</v>
      </c>
    </row>
    <row r="251" ht="12.75" spans="1:12">
      <c r="A251" s="66">
        <v>45972</v>
      </c>
      <c r="B251" s="27">
        <v>3148</v>
      </c>
      <c r="C251" s="27">
        <v>3783322.22</v>
      </c>
      <c r="D251" s="29">
        <v>3079.83</v>
      </c>
      <c r="E251" s="41">
        <f t="shared" si="22"/>
        <v>0.118851938548338</v>
      </c>
      <c r="F251" s="23">
        <f t="shared" si="23"/>
        <v>0.173882014204965</v>
      </c>
      <c r="G251" s="23">
        <f t="shared" si="24"/>
        <v>0.135360961245326</v>
      </c>
      <c r="H251" s="24">
        <f t="shared" si="25"/>
        <v>0.97834498094028</v>
      </c>
      <c r="I251" s="27">
        <f>396+3148</f>
        <v>3544</v>
      </c>
      <c r="J251" s="27">
        <f>491099.33+3783322.22</f>
        <v>4274421.55</v>
      </c>
      <c r="K251" s="26">
        <f t="shared" si="32"/>
        <v>0.0177194166666666</v>
      </c>
      <c r="L251" s="27">
        <v>1172.56</v>
      </c>
    </row>
    <row r="252" ht="12.75" spans="1:12">
      <c r="A252" s="66">
        <v>45973</v>
      </c>
      <c r="B252" s="27">
        <v>3143</v>
      </c>
      <c r="C252" s="27">
        <v>3845459.38</v>
      </c>
      <c r="D252" s="29">
        <v>3080.44</v>
      </c>
      <c r="E252" s="41">
        <f t="shared" si="22"/>
        <v>0.116954619866509</v>
      </c>
      <c r="F252" s="23">
        <f t="shared" si="23"/>
        <v>0.171106210982783</v>
      </c>
      <c r="G252" s="23">
        <f t="shared" si="24"/>
        <v>0.133200097201391</v>
      </c>
      <c r="H252" s="24">
        <f t="shared" si="25"/>
        <v>0.980095450206809</v>
      </c>
      <c r="I252" s="27">
        <f>402+3143</f>
        <v>3545</v>
      </c>
      <c r="J252" s="27">
        <f>495799.07+3845459.38</f>
        <v>4341258.45</v>
      </c>
      <c r="K252" s="26">
        <f t="shared" si="32"/>
        <v>0.0336329642857143</v>
      </c>
      <c r="L252" s="27">
        <v>1185.56</v>
      </c>
    </row>
    <row r="253" ht="12.75" spans="1:12">
      <c r="A253" s="66">
        <v>45974</v>
      </c>
      <c r="B253" s="27">
        <v>3197</v>
      </c>
      <c r="C253" s="27">
        <v>3971298.91</v>
      </c>
      <c r="D253" s="29">
        <v>3126.27</v>
      </c>
      <c r="E253" s="41">
        <f t="shared" si="22"/>
        <v>0.114933534428916</v>
      </c>
      <c r="F253" s="23">
        <f t="shared" si="23"/>
        <v>0.168149335301482</v>
      </c>
      <c r="G253" s="23">
        <f t="shared" si="24"/>
        <v>0.130898274690685</v>
      </c>
      <c r="H253" s="24">
        <f t="shared" si="25"/>
        <v>0.977876133875508</v>
      </c>
      <c r="I253" s="27">
        <f>348+3197</f>
        <v>3545</v>
      </c>
      <c r="J253" s="27">
        <f>404586.16+3971298.91</f>
        <v>4375885.07</v>
      </c>
      <c r="K253" s="26">
        <f t="shared" si="32"/>
        <v>0.0418773976190477</v>
      </c>
      <c r="L253" s="27">
        <v>1198.16</v>
      </c>
    </row>
    <row r="254" ht="12.75" spans="1:12">
      <c r="A254" s="66">
        <v>45975</v>
      </c>
      <c r="B254" s="27">
        <v>3178</v>
      </c>
      <c r="C254" s="27">
        <v>3881267.21</v>
      </c>
      <c r="D254" s="29">
        <v>3082.4</v>
      </c>
      <c r="E254" s="41">
        <f t="shared" si="22"/>
        <v>0.115949347378224</v>
      </c>
      <c r="F254" s="23">
        <f t="shared" si="23"/>
        <v>0.169635483561566</v>
      </c>
      <c r="G254" s="23">
        <f t="shared" si="24"/>
        <v>0.132055188233227</v>
      </c>
      <c r="H254" s="24">
        <f t="shared" si="25"/>
        <v>0.969918187539333</v>
      </c>
      <c r="I254" s="27">
        <f>366+3178</f>
        <v>3544</v>
      </c>
      <c r="J254" s="27">
        <f>3881267.21+420338.29</f>
        <v>4301605.5</v>
      </c>
      <c r="K254" s="26">
        <f t="shared" si="32"/>
        <v>0.0241917857142857</v>
      </c>
      <c r="L254" s="27">
        <v>1176.62</v>
      </c>
    </row>
    <row r="255" ht="12.75" spans="1:12">
      <c r="A255" s="66">
        <v>45977</v>
      </c>
      <c r="B255" s="27">
        <v>3141</v>
      </c>
      <c r="C255" s="27">
        <v>3883560.69</v>
      </c>
      <c r="D255" s="29">
        <v>3033.13</v>
      </c>
      <c r="E255" s="41">
        <f t="shared" si="22"/>
        <v>0.114028597812385</v>
      </c>
      <c r="F255" s="23">
        <f t="shared" si="23"/>
        <v>0.166825400635106</v>
      </c>
      <c r="G255" s="23">
        <f t="shared" si="24"/>
        <v>0.129867638659202</v>
      </c>
      <c r="H255" s="24">
        <f t="shared" si="25"/>
        <v>0.965657433938236</v>
      </c>
      <c r="I255" s="27">
        <f>404+3141</f>
        <v>3545</v>
      </c>
      <c r="J255" s="27">
        <f>509990.42+3883560.69</f>
        <v>4393551.11</v>
      </c>
      <c r="K255" s="26">
        <f t="shared" si="32"/>
        <v>0.0460835976190477</v>
      </c>
      <c r="L255" s="27">
        <v>1183.18</v>
      </c>
    </row>
    <row r="256" ht="12.75" spans="1:12">
      <c r="A256" s="66">
        <v>45979</v>
      </c>
      <c r="B256" s="27">
        <v>3125</v>
      </c>
      <c r="C256" s="27">
        <v>3877284.22</v>
      </c>
      <c r="D256" s="29">
        <v>2952.39</v>
      </c>
      <c r="E256" s="41">
        <f t="shared" si="22"/>
        <v>0.111172902356898</v>
      </c>
      <c r="F256" s="23">
        <f t="shared" si="23"/>
        <v>0.162647479064612</v>
      </c>
      <c r="G256" s="23">
        <f t="shared" si="24"/>
        <v>0.126615275369212</v>
      </c>
      <c r="H256" s="24">
        <f t="shared" si="25"/>
        <v>0.9447648</v>
      </c>
      <c r="I256" s="27">
        <f>3125+420</f>
        <v>3545</v>
      </c>
      <c r="J256" s="27">
        <f>3877284.22+549153.44</f>
        <v>4426437.66</v>
      </c>
      <c r="K256" s="26">
        <f t="shared" si="32"/>
        <v>0.0539137285714286</v>
      </c>
      <c r="L256" s="27">
        <v>1187.72</v>
      </c>
    </row>
    <row r="257" ht="12.75" spans="1:12">
      <c r="A257" s="66">
        <v>45980</v>
      </c>
      <c r="B257" s="27">
        <v>3114</v>
      </c>
      <c r="C257" s="27">
        <v>3777423.42</v>
      </c>
      <c r="D257" s="29">
        <v>2915</v>
      </c>
      <c r="E257" s="41">
        <f t="shared" si="22"/>
        <v>0.112666744677514</v>
      </c>
      <c r="F257" s="23">
        <f t="shared" si="23"/>
        <v>0.164832990843266</v>
      </c>
      <c r="G257" s="23">
        <f t="shared" si="24"/>
        <v>0.128316618527239</v>
      </c>
      <c r="H257" s="24">
        <f t="shared" si="25"/>
        <v>0.936095054592164</v>
      </c>
      <c r="I257" s="27">
        <f>432+3114</f>
        <v>3546</v>
      </c>
      <c r="J257" s="27">
        <f>568452.54+3777423.42</f>
        <v>4345875.96</v>
      </c>
      <c r="K257" s="26">
        <f t="shared" si="32"/>
        <v>0.0347323714285714</v>
      </c>
      <c r="L257" s="27">
        <v>1175.28</v>
      </c>
    </row>
    <row r="258" ht="12.75" spans="1:12">
      <c r="A258" s="66">
        <v>45981</v>
      </c>
      <c r="B258" s="27">
        <v>3076</v>
      </c>
      <c r="C258" s="27">
        <v>3766371.02</v>
      </c>
      <c r="D258" s="29">
        <v>2842.4</v>
      </c>
      <c r="E258" s="41">
        <f t="shared" si="22"/>
        <v>0.110183090777923</v>
      </c>
      <c r="F258" s="23">
        <f t="shared" si="23"/>
        <v>0.16119937116551</v>
      </c>
      <c r="G258" s="23">
        <f t="shared" si="24"/>
        <v>0.125487974894199</v>
      </c>
      <c r="H258" s="24">
        <f t="shared" si="25"/>
        <v>0.92405721716515</v>
      </c>
      <c r="I258" s="27">
        <f>3076+469</f>
        <v>3545</v>
      </c>
      <c r="J258" s="27">
        <f>633974.52+3766371.02</f>
        <v>4400345.54</v>
      </c>
      <c r="K258" s="26">
        <f t="shared" si="32"/>
        <v>0.0477013190476191</v>
      </c>
      <c r="L258" s="27">
        <v>1179</v>
      </c>
    </row>
    <row r="259" ht="12.75" spans="1:12">
      <c r="A259" s="66">
        <v>45982</v>
      </c>
      <c r="B259" s="27">
        <v>3050</v>
      </c>
      <c r="C259" s="27">
        <v>3840155.4</v>
      </c>
      <c r="D259" s="29">
        <v>2808.96</v>
      </c>
      <c r="E259" s="41">
        <f t="shared" si="22"/>
        <v>0.106794678152869</v>
      </c>
      <c r="F259" s="23">
        <f t="shared" si="23"/>
        <v>0.156242077078443</v>
      </c>
      <c r="G259" s="23">
        <f t="shared" si="24"/>
        <v>0.121628897830541</v>
      </c>
      <c r="H259" s="24">
        <f t="shared" si="25"/>
        <v>0.920970491803279</v>
      </c>
      <c r="I259" s="27">
        <f>500+3050</f>
        <v>3550</v>
      </c>
      <c r="J259" s="27">
        <f>681976.37+3840155.4</f>
        <v>4522131.77</v>
      </c>
      <c r="K259" s="26">
        <f t="shared" si="32"/>
        <v>0.0766980404761904</v>
      </c>
      <c r="L259" s="27">
        <v>1194.18</v>
      </c>
    </row>
    <row r="260" ht="12.75" spans="1:12">
      <c r="A260" s="66">
        <v>45984</v>
      </c>
      <c r="B260" s="27">
        <v>2977</v>
      </c>
      <c r="C260" s="27">
        <v>3835496.27</v>
      </c>
      <c r="D260" s="29">
        <v>2715.55</v>
      </c>
      <c r="E260" s="41">
        <f t="shared" si="22"/>
        <v>0.10336870957249</v>
      </c>
      <c r="F260" s="23">
        <f t="shared" si="23"/>
        <v>0.151229838114274</v>
      </c>
      <c r="G260" s="23">
        <f t="shared" si="24"/>
        <v>0.117727048135025</v>
      </c>
      <c r="H260" s="24">
        <f t="shared" si="25"/>
        <v>0.91217668794088</v>
      </c>
      <c r="I260" s="27">
        <f>572+2977</f>
        <v>3549</v>
      </c>
      <c r="J260" s="27">
        <f>802200.6+3835496.27</f>
        <v>4637696.87</v>
      </c>
      <c r="K260" s="26">
        <f t="shared" si="32"/>
        <v>0.10421354047619</v>
      </c>
      <c r="L260" s="27">
        <v>1225.25</v>
      </c>
    </row>
    <row r="261" ht="12.75" spans="1:12">
      <c r="A261" s="66">
        <v>45985</v>
      </c>
      <c r="B261" s="27">
        <v>2931</v>
      </c>
      <c r="C261" s="27">
        <v>3838038.56</v>
      </c>
      <c r="D261" s="29">
        <v>2640.23</v>
      </c>
      <c r="E261" s="41">
        <f t="shared" si="22"/>
        <v>0.100435046176295</v>
      </c>
      <c r="F261" s="23">
        <f t="shared" si="23"/>
        <v>0.14693784837847</v>
      </c>
      <c r="G261" s="23">
        <f t="shared" si="24"/>
        <v>0.114385886836947</v>
      </c>
      <c r="H261" s="24">
        <f t="shared" si="25"/>
        <v>0.90079495052883</v>
      </c>
      <c r="I261" s="27">
        <f>2931+617</f>
        <v>3548</v>
      </c>
      <c r="J261" s="27">
        <f>896394.18+3838038.56</f>
        <v>4734432.74</v>
      </c>
      <c r="K261" s="26">
        <f t="shared" si="32"/>
        <v>0.127245890476191</v>
      </c>
      <c r="L261" s="27">
        <v>1235.96</v>
      </c>
    </row>
    <row r="262" ht="12.75" spans="1:12">
      <c r="A262" s="66">
        <v>45986</v>
      </c>
      <c r="B262" s="27">
        <v>2922</v>
      </c>
      <c r="C262" s="27">
        <v>3858752.93</v>
      </c>
      <c r="D262" s="29">
        <v>2620.9</v>
      </c>
      <c r="E262" s="41">
        <f t="shared" si="22"/>
        <v>0.0991645246382748</v>
      </c>
      <c r="F262" s="23">
        <f t="shared" si="23"/>
        <v>0.145079057963942</v>
      </c>
      <c r="G262" s="23">
        <f t="shared" si="24"/>
        <v>0.112938884635975</v>
      </c>
      <c r="H262" s="24">
        <f t="shared" si="25"/>
        <v>0.896954140999316</v>
      </c>
      <c r="I262" s="27">
        <f>626+2922</f>
        <v>3548</v>
      </c>
      <c r="J262" s="27">
        <f>919266.78+3858752.93</f>
        <v>4778019.71</v>
      </c>
      <c r="K262" s="26">
        <f t="shared" si="32"/>
        <v>0.13762374047619</v>
      </c>
      <c r="L262" s="27">
        <v>1239.84</v>
      </c>
    </row>
    <row r="263" ht="12.75" spans="1:12">
      <c r="A263" s="66">
        <v>45987</v>
      </c>
      <c r="B263" s="27">
        <v>2880</v>
      </c>
      <c r="C263" s="27">
        <v>3893238.04</v>
      </c>
      <c r="D263" s="29">
        <v>2579.2</v>
      </c>
      <c r="E263" s="41">
        <f t="shared" si="22"/>
        <v>0.0967223673793139</v>
      </c>
      <c r="F263" s="23">
        <f t="shared" si="23"/>
        <v>0.141506148439873</v>
      </c>
      <c r="G263" s="23">
        <f t="shared" si="24"/>
        <v>0.110157501697482</v>
      </c>
      <c r="H263" s="24">
        <f t="shared" si="25"/>
        <v>0.895555555555555</v>
      </c>
      <c r="I263" s="27">
        <f>2880+605</f>
        <v>3485</v>
      </c>
      <c r="J263" s="27">
        <f>887715.55+3893238.04</f>
        <v>4780953.59</v>
      </c>
      <c r="K263" s="26">
        <f t="shared" si="32"/>
        <v>0.138322283333333</v>
      </c>
      <c r="L263" s="27">
        <v>1257.46</v>
      </c>
    </row>
    <row r="264" ht="12.75" spans="1:12">
      <c r="A264" s="66">
        <v>45988</v>
      </c>
      <c r="B264" s="27">
        <v>2792</v>
      </c>
      <c r="C264" s="27">
        <v>3815021.87</v>
      </c>
      <c r="D264" s="29">
        <v>2464.99</v>
      </c>
      <c r="E264" s="41">
        <f t="shared" si="22"/>
        <v>0.0943345942077129</v>
      </c>
      <c r="F264" s="23">
        <f t="shared" si="23"/>
        <v>0.138012803580599</v>
      </c>
      <c r="G264" s="23">
        <f t="shared" si="24"/>
        <v>0.107438057019579</v>
      </c>
      <c r="H264" s="24">
        <f t="shared" si="25"/>
        <v>0.882876074498567</v>
      </c>
      <c r="I264" s="27">
        <f>694+2792</f>
        <v>3486</v>
      </c>
      <c r="J264" s="27">
        <f>1037625.36+3815021.87</f>
        <v>4852647.23</v>
      </c>
      <c r="K264" s="26">
        <f t="shared" si="32"/>
        <v>0.155392197619048</v>
      </c>
      <c r="L264" s="67">
        <v>1265.68</v>
      </c>
    </row>
    <row r="265" ht="12.75" spans="1:12">
      <c r="A265" s="66">
        <v>45989</v>
      </c>
      <c r="B265" s="27">
        <v>2762</v>
      </c>
      <c r="C265" s="27">
        <v>3847960.03</v>
      </c>
      <c r="D265" s="29">
        <v>2422.76</v>
      </c>
      <c r="E265" s="41">
        <f t="shared" si="22"/>
        <v>0.0919248009964387</v>
      </c>
      <c r="F265" s="23">
        <f t="shared" si="23"/>
        <v>0.134487243101639</v>
      </c>
      <c r="G265" s="23">
        <f t="shared" si="24"/>
        <v>0.104693533627999</v>
      </c>
      <c r="H265" s="24">
        <f t="shared" si="25"/>
        <v>0.877175959449674</v>
      </c>
      <c r="I265" s="27">
        <f>2762+725</f>
        <v>3487</v>
      </c>
      <c r="J265" s="27">
        <f>3847960.03+1090570.46</f>
        <v>4938530.49</v>
      </c>
      <c r="K265" s="26">
        <f t="shared" si="32"/>
        <v>0.175840592857143</v>
      </c>
      <c r="L265" s="27">
        <v>1280.03</v>
      </c>
    </row>
    <row r="266" ht="12.75" spans="1:12">
      <c r="A266" s="66">
        <v>45989</v>
      </c>
      <c r="B266" s="27">
        <v>2755</v>
      </c>
      <c r="C266" s="27">
        <v>3895458.74</v>
      </c>
      <c r="D266" s="29">
        <v>2412.12</v>
      </c>
      <c r="E266" s="41">
        <f t="shared" si="22"/>
        <v>0.0904051469943178</v>
      </c>
      <c r="F266" s="23">
        <f t="shared" si="23"/>
        <v>0.132263968479358</v>
      </c>
      <c r="G266" s="23">
        <f t="shared" si="24"/>
        <v>0.10296279343983</v>
      </c>
      <c r="H266" s="24">
        <f t="shared" si="25"/>
        <v>0.875542649727768</v>
      </c>
      <c r="I266" s="27">
        <f>2755+731</f>
        <v>3486</v>
      </c>
      <c r="J266" s="27">
        <f>3895458.74+1116036.61</f>
        <v>5011495.35</v>
      </c>
      <c r="K266" s="26">
        <f t="shared" si="32"/>
        <v>0.193213178571429</v>
      </c>
      <c r="L266" s="27">
        <v>1303.87</v>
      </c>
    </row>
    <row r="267" ht="12.75" spans="1:12">
      <c r="A267" s="66">
        <v>45990</v>
      </c>
      <c r="B267" s="27">
        <v>3051</v>
      </c>
      <c r="C267" s="27">
        <v>4267947.9</v>
      </c>
      <c r="D267" s="29">
        <v>2733.51</v>
      </c>
      <c r="E267" s="41">
        <f t="shared" si="22"/>
        <v>0.093509215517837</v>
      </c>
      <c r="F267" s="23">
        <f t="shared" si="23"/>
        <v>0.136805263250753</v>
      </c>
      <c r="G267" s="23">
        <f t="shared" si="24"/>
        <v>0.106498029837712</v>
      </c>
      <c r="H267" s="24">
        <f t="shared" si="25"/>
        <v>0.895939036381514</v>
      </c>
      <c r="I267" s="27">
        <f>436+3050</f>
        <v>3486</v>
      </c>
      <c r="J267" s="27">
        <f>4266455.9+723945.4</f>
        <v>4990401.3</v>
      </c>
      <c r="K267" s="26">
        <f t="shared" si="32"/>
        <v>0.188190785714286</v>
      </c>
      <c r="L267" s="27">
        <v>1304.07</v>
      </c>
    </row>
    <row r="268" ht="12.75" spans="1:12">
      <c r="A268" s="66">
        <v>45991</v>
      </c>
      <c r="B268" s="27">
        <v>3091</v>
      </c>
      <c r="C268" s="27">
        <v>4326918.37</v>
      </c>
      <c r="D268" s="29">
        <v>2788.57</v>
      </c>
      <c r="E268" s="41">
        <f t="shared" si="22"/>
        <v>0.0940926509782989</v>
      </c>
      <c r="F268" s="23">
        <f t="shared" si="23"/>
        <v>0.137658837321676</v>
      </c>
      <c r="G268" s="23">
        <f t="shared" si="24"/>
        <v>0.107162506881312</v>
      </c>
      <c r="H268" s="24">
        <f t="shared" si="25"/>
        <v>0.902157877709479</v>
      </c>
      <c r="I268" s="27">
        <f>3091+408</f>
        <v>3499</v>
      </c>
      <c r="J268" s="27">
        <f>4326918.37+650989.22</f>
        <v>4977907.59</v>
      </c>
      <c r="K268" s="26">
        <f t="shared" si="32"/>
        <v>0.185216092857143</v>
      </c>
      <c r="L268" s="27">
        <v>1303.02</v>
      </c>
    </row>
    <row r="269" ht="12.75" spans="1:12">
      <c r="A269" s="66">
        <v>45992</v>
      </c>
      <c r="B269" s="27">
        <v>3085</v>
      </c>
      <c r="C269" s="27">
        <v>4334400.28</v>
      </c>
      <c r="D269" s="29">
        <v>2794.13</v>
      </c>
      <c r="E269" s="41">
        <f t="shared" si="22"/>
        <v>0.0941175142227519</v>
      </c>
      <c r="F269" s="23">
        <f t="shared" si="23"/>
        <v>0.137695212588903</v>
      </c>
      <c r="G269" s="23">
        <f t="shared" si="24"/>
        <v>0.107190823732597</v>
      </c>
      <c r="H269" s="24">
        <f t="shared" si="25"/>
        <v>0.905714748784441</v>
      </c>
      <c r="I269" s="27">
        <f>417+3085</f>
        <v>3502</v>
      </c>
      <c r="J269" s="27">
        <f>651533.51+4334400.28</f>
        <v>4985933.79</v>
      </c>
      <c r="K269" s="26">
        <f t="shared" si="32"/>
        <v>0.187127092857143</v>
      </c>
      <c r="L269" s="27">
        <v>1309.56</v>
      </c>
    </row>
    <row r="270" ht="12.75" spans="1:12">
      <c r="A270" s="66">
        <v>45993</v>
      </c>
      <c r="B270" s="27">
        <v>3078</v>
      </c>
      <c r="C270" s="27">
        <v>4350382</v>
      </c>
      <c r="D270" s="29">
        <v>2796.14</v>
      </c>
      <c r="E270" s="41">
        <f t="shared" si="22"/>
        <v>0.0938392168779661</v>
      </c>
      <c r="F270" s="23">
        <f t="shared" si="23"/>
        <v>0.137288059761189</v>
      </c>
      <c r="G270" s="23">
        <f t="shared" si="24"/>
        <v>0.106873869742933</v>
      </c>
      <c r="H270" s="24">
        <f t="shared" si="25"/>
        <v>0.908427550357375</v>
      </c>
      <c r="I270" s="27">
        <f>3078+425</f>
        <v>3503</v>
      </c>
      <c r="J270" s="27">
        <f>631273.74+4350382</f>
        <v>4981655.74</v>
      </c>
      <c r="K270" s="26">
        <f t="shared" si="32"/>
        <v>0.18610850952381</v>
      </c>
      <c r="L270" s="27">
        <v>1325.4</v>
      </c>
    </row>
    <row r="271" ht="12.75" spans="1:12">
      <c r="A271" s="66">
        <v>45994</v>
      </c>
      <c r="B271" s="27">
        <v>3081</v>
      </c>
      <c r="C271" s="27">
        <v>4354870.66</v>
      </c>
      <c r="D271" s="29">
        <v>2787.49</v>
      </c>
      <c r="E271" s="41">
        <f t="shared" si="22"/>
        <v>0.0934524976225126</v>
      </c>
      <c r="F271" s="23">
        <f t="shared" si="23"/>
        <v>0.136722284192936</v>
      </c>
      <c r="G271" s="23">
        <f t="shared" si="24"/>
        <v>0.10643343359364</v>
      </c>
      <c r="H271" s="24">
        <f t="shared" si="25"/>
        <v>0.904735475494969</v>
      </c>
      <c r="I271" s="27">
        <f>3081+422</f>
        <v>3503</v>
      </c>
      <c r="J271" s="27">
        <f>614125.13+4354870.66</f>
        <v>4968995.79</v>
      </c>
      <c r="K271" s="26">
        <f t="shared" si="32"/>
        <v>0.183094235714286</v>
      </c>
      <c r="L271" s="27">
        <v>1324.73</v>
      </c>
    </row>
    <row r="272" ht="12.75" spans="1:12">
      <c r="A272" s="66">
        <v>45995</v>
      </c>
      <c r="B272" s="27">
        <v>3128</v>
      </c>
      <c r="C272" s="27">
        <v>4395444.32</v>
      </c>
      <c r="D272" s="29">
        <v>2824.91</v>
      </c>
      <c r="E272" s="41">
        <f t="shared" si="22"/>
        <v>0.0938328027779453</v>
      </c>
      <c r="F272" s="23">
        <f t="shared" si="23"/>
        <v>0.137278675844994</v>
      </c>
      <c r="G272" s="23">
        <f t="shared" si="24"/>
        <v>0.10686656469806</v>
      </c>
      <c r="H272" s="24">
        <f t="shared" si="25"/>
        <v>0.903104219948849</v>
      </c>
      <c r="I272" s="27">
        <f>3128+375</f>
        <v>3503</v>
      </c>
      <c r="J272" s="27">
        <f>4395444.32+532942.69</f>
        <v>4928387.01</v>
      </c>
      <c r="K272" s="26">
        <f t="shared" si="32"/>
        <v>0.173425478571429</v>
      </c>
      <c r="L272" s="27">
        <v>1317.52</v>
      </c>
    </row>
    <row r="273" ht="12.75" spans="1:12">
      <c r="A273" s="66">
        <v>45996</v>
      </c>
      <c r="B273" s="27">
        <v>3136</v>
      </c>
      <c r="C273" s="27">
        <v>4372184.61</v>
      </c>
      <c r="D273" s="29">
        <v>2743.66</v>
      </c>
      <c r="E273" s="41">
        <f t="shared" si="22"/>
        <v>0.0916188120427971</v>
      </c>
      <c r="F273" s="23">
        <f t="shared" si="23"/>
        <v>0.134039577070832</v>
      </c>
      <c r="G273" s="23">
        <f t="shared" si="24"/>
        <v>0.104345041551207</v>
      </c>
      <c r="H273" s="24">
        <f t="shared" si="25"/>
        <v>0.874891581632653</v>
      </c>
      <c r="I273" s="27">
        <f>369+3136</f>
        <v>3505</v>
      </c>
      <c r="J273" s="27">
        <f>524361.08+4372184.61</f>
        <v>4896545.69</v>
      </c>
      <c r="K273" s="26">
        <f t="shared" si="32"/>
        <v>0.165844211904762</v>
      </c>
      <c r="L273" s="27">
        <v>1313.82</v>
      </c>
    </row>
    <row r="274" ht="12.75" spans="1:12">
      <c r="A274" s="66">
        <v>45998</v>
      </c>
      <c r="B274" s="27">
        <v>3121</v>
      </c>
      <c r="C274" s="27">
        <v>4164179.73</v>
      </c>
      <c r="D274" s="29">
        <v>2617.76</v>
      </c>
      <c r="E274" s="41">
        <f t="shared" si="22"/>
        <v>0.0917810913027042</v>
      </c>
      <c r="F274" s="23">
        <f t="shared" si="23"/>
        <v>0.13427699385108</v>
      </c>
      <c r="G274" s="23">
        <f t="shared" si="24"/>
        <v>0.104529862067217</v>
      </c>
      <c r="H274" s="24">
        <f t="shared" si="25"/>
        <v>0.838756808715155</v>
      </c>
      <c r="I274" s="27">
        <f>386+3121</f>
        <v>3507</v>
      </c>
      <c r="J274" s="27">
        <f>543109.04+4164179.73</f>
        <v>4707288.77</v>
      </c>
      <c r="K274" s="26">
        <f t="shared" si="32"/>
        <v>0.12078304047619</v>
      </c>
      <c r="L274" s="27">
        <v>1290</v>
      </c>
    </row>
    <row r="275" ht="12.75" spans="1:12">
      <c r="A275" s="66">
        <v>46000</v>
      </c>
      <c r="B275" s="27">
        <v>3083</v>
      </c>
      <c r="C275" s="27">
        <v>4259179.19</v>
      </c>
      <c r="D275" s="29">
        <v>2568.27</v>
      </c>
      <c r="E275" s="41">
        <f t="shared" si="22"/>
        <v>0.0880374840486577</v>
      </c>
      <c r="F275" s="23">
        <f t="shared" si="23"/>
        <v>0.128800045156118</v>
      </c>
      <c r="G275" s="23">
        <f t="shared" si="24"/>
        <v>0.100266252380896</v>
      </c>
      <c r="H275" s="24">
        <f t="shared" si="25"/>
        <v>0.833042491080117</v>
      </c>
      <c r="I275" s="27">
        <f>3083+424</f>
        <v>3507</v>
      </c>
      <c r="J275" s="27">
        <f>579600.47+4259179.19</f>
        <v>4838779.66</v>
      </c>
      <c r="K275" s="26">
        <f t="shared" si="32"/>
        <v>0.152090395238095</v>
      </c>
      <c r="L275" s="27">
        <v>1318.6</v>
      </c>
    </row>
    <row r="276" ht="12.75" spans="1:12">
      <c r="A276" s="66">
        <v>46001</v>
      </c>
      <c r="B276" s="27">
        <v>3107</v>
      </c>
      <c r="C276" s="27">
        <v>4206397.69</v>
      </c>
      <c r="D276" s="29">
        <v>2569.03</v>
      </c>
      <c r="E276" s="41">
        <f t="shared" si="22"/>
        <v>0.0891685493484569</v>
      </c>
      <c r="F276" s="23">
        <f t="shared" si="23"/>
        <v>0.13045480918377</v>
      </c>
      <c r="G276" s="23">
        <f t="shared" si="24"/>
        <v>0.101554427299051</v>
      </c>
      <c r="H276" s="24">
        <f t="shared" si="25"/>
        <v>0.826852269069842</v>
      </c>
      <c r="I276" s="27">
        <f>402+3107</f>
        <v>3509</v>
      </c>
      <c r="J276" s="27">
        <f>554862.91+4206397.69</f>
        <v>4761260.6</v>
      </c>
      <c r="K276" s="26">
        <f t="shared" si="32"/>
        <v>0.133633476190476</v>
      </c>
      <c r="L276" s="27">
        <v>1310.79</v>
      </c>
    </row>
    <row r="277" ht="12.75" spans="1:12">
      <c r="A277" s="66">
        <v>46004</v>
      </c>
      <c r="B277" s="27">
        <v>3079</v>
      </c>
      <c r="C277" s="27">
        <v>4051043.53</v>
      </c>
      <c r="D277" s="29">
        <v>2536.63</v>
      </c>
      <c r="E277" s="41">
        <f t="shared" si="22"/>
        <v>0.0914203901432775</v>
      </c>
      <c r="F277" s="23">
        <f t="shared" si="23"/>
        <v>0.133749283113727</v>
      </c>
      <c r="G277" s="23">
        <f t="shared" si="24"/>
        <v>0.104119058034412</v>
      </c>
      <c r="H277" s="24">
        <f t="shared" si="25"/>
        <v>0.823848652159792</v>
      </c>
      <c r="I277" s="27">
        <f>3079+431</f>
        <v>3510</v>
      </c>
      <c r="J277" s="27">
        <f>585989.87+4051043.53</f>
        <v>4637033.4</v>
      </c>
      <c r="K277" s="26">
        <f t="shared" si="32"/>
        <v>0.104055571428571</v>
      </c>
      <c r="L277" s="27">
        <v>1273.25</v>
      </c>
    </row>
    <row r="278" ht="12.75" spans="1:12">
      <c r="A278" s="66">
        <v>46007</v>
      </c>
      <c r="B278" s="27">
        <v>3110</v>
      </c>
      <c r="C278" s="27">
        <v>4256483.59</v>
      </c>
      <c r="D278" s="29">
        <v>2606.65</v>
      </c>
      <c r="E278" s="41">
        <f t="shared" si="22"/>
        <v>0.0894096951046862</v>
      </c>
      <c r="F278" s="23">
        <f t="shared" si="23"/>
        <v>0.1308076087285</v>
      </c>
      <c r="G278" s="23">
        <f t="shared" si="24"/>
        <v>0.10182906919183</v>
      </c>
      <c r="H278" s="24">
        <f t="shared" si="25"/>
        <v>0.838151125401929</v>
      </c>
      <c r="I278" s="27">
        <f>400+3110</f>
        <v>3510</v>
      </c>
      <c r="J278" s="27">
        <f>540611.35+4256483.59</f>
        <v>4797094.94</v>
      </c>
      <c r="K278" s="26">
        <f t="shared" si="32"/>
        <v>0.142165461904762</v>
      </c>
      <c r="L278" s="27">
        <v>1277.53</v>
      </c>
    </row>
    <row r="279" ht="12.75" spans="1:12">
      <c r="A279" s="66">
        <v>46008</v>
      </c>
      <c r="B279" s="27">
        <v>3075</v>
      </c>
      <c r="C279" s="27">
        <v>4224747.01</v>
      </c>
      <c r="D279" s="29">
        <v>2574.48</v>
      </c>
      <c r="E279" s="41">
        <f t="shared" si="22"/>
        <v>0.088969606726818</v>
      </c>
      <c r="F279" s="23">
        <f t="shared" si="23"/>
        <v>0.130163753403071</v>
      </c>
      <c r="G279" s="23">
        <f t="shared" si="24"/>
        <v>0.101327850729694</v>
      </c>
      <c r="H279" s="24">
        <f t="shared" si="25"/>
        <v>0.837229268292683</v>
      </c>
      <c r="I279" s="27">
        <f>3075+436</f>
        <v>3511</v>
      </c>
      <c r="J279" s="27">
        <f>584930.12+4224747.01</f>
        <v>4809677.13</v>
      </c>
      <c r="K279" s="26">
        <f t="shared" si="32"/>
        <v>0.145161221428571</v>
      </c>
      <c r="L279" s="27">
        <v>1284.96</v>
      </c>
    </row>
    <row r="280" ht="12.75" spans="1:12">
      <c r="A280" s="66">
        <v>46009</v>
      </c>
      <c r="B280" s="27">
        <v>3137</v>
      </c>
      <c r="C280" s="27">
        <v>4331489.34</v>
      </c>
      <c r="D280" s="29">
        <v>2617.19</v>
      </c>
      <c r="E280" s="41">
        <f t="shared" si="22"/>
        <v>0.0882167102366689</v>
      </c>
      <c r="F280" s="23">
        <f t="shared" si="23"/>
        <v>0.129062255524332</v>
      </c>
      <c r="G280" s="23">
        <f t="shared" si="24"/>
        <v>0.100470373822968</v>
      </c>
      <c r="H280" s="24">
        <f t="shared" si="25"/>
        <v>0.834297099139305</v>
      </c>
      <c r="I280" s="27">
        <f>3137+373</f>
        <v>3510</v>
      </c>
      <c r="J280" s="27">
        <f>4331489.34+506000.27</f>
        <v>4837489.61</v>
      </c>
      <c r="K280" s="26">
        <f t="shared" si="32"/>
        <v>0.15178324047619</v>
      </c>
      <c r="L280" s="27">
        <v>1292.65</v>
      </c>
    </row>
    <row r="281" ht="12.75" spans="1:12">
      <c r="A281" s="66">
        <v>46010</v>
      </c>
      <c r="B281" s="27">
        <v>3155</v>
      </c>
      <c r="C281" s="27">
        <v>4353551.12</v>
      </c>
      <c r="D281" s="29">
        <v>2633.44</v>
      </c>
      <c r="E281" s="41">
        <f t="shared" si="22"/>
        <v>0.0883146262447011</v>
      </c>
      <c r="F281" s="23">
        <f t="shared" si="23"/>
        <v>0.129205507985398</v>
      </c>
      <c r="G281" s="23">
        <f t="shared" si="24"/>
        <v>0.10058189076691</v>
      </c>
      <c r="H281" s="24">
        <f t="shared" si="25"/>
        <v>0.834687797147385</v>
      </c>
      <c r="I281" s="27">
        <f>3155+355</f>
        <v>3510</v>
      </c>
      <c r="J281" s="27">
        <f>4353551.12+476163.88</f>
        <v>4829715</v>
      </c>
      <c r="K281" s="26">
        <f t="shared" si="32"/>
        <v>0.149932142857143</v>
      </c>
      <c r="L281" s="27">
        <v>1288.16</v>
      </c>
    </row>
    <row r="282" ht="12.75" spans="1:12">
      <c r="A282" s="66">
        <v>46014</v>
      </c>
      <c r="B282" s="27">
        <v>3099</v>
      </c>
      <c r="C282" s="27">
        <v>4072935.24</v>
      </c>
      <c r="D282" s="29">
        <v>2618.03</v>
      </c>
      <c r="E282" s="41">
        <f t="shared" si="22"/>
        <v>0.0938469083048814</v>
      </c>
      <c r="F282" s="23">
        <f t="shared" si="23"/>
        <v>0.137299312424128</v>
      </c>
      <c r="G282" s="23">
        <f t="shared" si="24"/>
        <v>0.106882629540655</v>
      </c>
      <c r="H282" s="24">
        <f t="shared" si="25"/>
        <v>0.844798322039368</v>
      </c>
      <c r="I282" s="27">
        <f>3099+410</f>
        <v>3509</v>
      </c>
      <c r="J282" s="27">
        <f>618065.26+4072935.24</f>
        <v>4691000.5</v>
      </c>
      <c r="K282" s="26">
        <f t="shared" si="32"/>
        <v>0.116904880952381</v>
      </c>
      <c r="L282" s="27">
        <v>1254.24</v>
      </c>
    </row>
    <row r="283" ht="12.75" spans="1:12">
      <c r="A283" s="66">
        <v>46018</v>
      </c>
      <c r="B283" s="27">
        <v>3010</v>
      </c>
      <c r="C283" s="27">
        <v>3838277.93</v>
      </c>
      <c r="D283" s="29">
        <v>2533.55</v>
      </c>
      <c r="E283" s="41">
        <f t="shared" si="22"/>
        <v>0.0963709003740644</v>
      </c>
      <c r="F283" s="23">
        <f t="shared" si="23"/>
        <v>0.140991947396576</v>
      </c>
      <c r="G283" s="23">
        <f t="shared" si="24"/>
        <v>0.109757214480818</v>
      </c>
      <c r="H283" s="24">
        <f t="shared" si="25"/>
        <v>0.84171096345515</v>
      </c>
      <c r="I283" s="27">
        <f>3010+500</f>
        <v>3510</v>
      </c>
      <c r="J283" s="27">
        <f>860444.46+3838277.93</f>
        <v>4698722.39</v>
      </c>
      <c r="K283" s="26">
        <f t="shared" si="32"/>
        <v>0.118743426190476</v>
      </c>
      <c r="L283" s="27">
        <v>1244.05</v>
      </c>
    </row>
    <row r="284" ht="12.75" spans="1:12">
      <c r="A284" s="66">
        <v>46019</v>
      </c>
      <c r="B284" s="27">
        <v>3006</v>
      </c>
      <c r="C284" s="27">
        <v>3772633.47</v>
      </c>
      <c r="D284" s="29">
        <v>2518.66</v>
      </c>
      <c r="E284" s="41">
        <f t="shared" si="22"/>
        <v>0.0974715309409583</v>
      </c>
      <c r="F284" s="23">
        <f t="shared" si="23"/>
        <v>0.142602184993073</v>
      </c>
      <c r="G284" s="23">
        <f t="shared" si="24"/>
        <v>0.111010727156593</v>
      </c>
      <c r="H284" s="24">
        <f t="shared" si="25"/>
        <v>0.837877578176979</v>
      </c>
      <c r="I284" s="27">
        <f>505+3006</f>
        <v>3511</v>
      </c>
      <c r="J284" s="27">
        <f>879665.65+C284</f>
        <v>4652299.12</v>
      </c>
      <c r="K284" s="26">
        <f t="shared" si="32"/>
        <v>0.107690266666667</v>
      </c>
    </row>
    <row r="285" ht="12.75" spans="1:12">
      <c r="A285" s="66">
        <v>46021</v>
      </c>
      <c r="B285" s="27">
        <v>3051</v>
      </c>
      <c r="C285" s="27">
        <v>3864022.36</v>
      </c>
      <c r="D285" s="29">
        <v>2531.76</v>
      </c>
      <c r="E285" s="41">
        <f t="shared" si="22"/>
        <v>0.0956611855631188</v>
      </c>
      <c r="F285" s="23">
        <f t="shared" si="23"/>
        <v>0.139953624906042</v>
      </c>
      <c r="G285" s="23">
        <f t="shared" si="24"/>
        <v>0.108948917365996</v>
      </c>
      <c r="H285" s="24">
        <f t="shared" si="25"/>
        <v>0.829813176007866</v>
      </c>
      <c r="I285" s="27">
        <f>3051+458</f>
        <v>3509</v>
      </c>
      <c r="J285" s="27">
        <f>3864022.36+824808.09</f>
        <v>4688830.45</v>
      </c>
      <c r="K285" s="26">
        <f t="shared" si="32"/>
        <v>0.116388202380952</v>
      </c>
      <c r="L285" s="27">
        <v>1239.38</v>
      </c>
    </row>
    <row r="286" ht="12.75" spans="1:12">
      <c r="A286" s="66">
        <v>46022</v>
      </c>
      <c r="B286" s="27">
        <v>3044</v>
      </c>
      <c r="C286" s="27">
        <v>3852311.52</v>
      </c>
      <c r="D286" s="29">
        <v>2499.94</v>
      </c>
      <c r="E286" s="41">
        <f t="shared" si="22"/>
        <v>0.0947460344536207</v>
      </c>
      <c r="F286" s="23">
        <f t="shared" si="23"/>
        <v>0.13861474629653</v>
      </c>
      <c r="G286" s="23">
        <f t="shared" si="24"/>
        <v>0.107906648006494</v>
      </c>
      <c r="H286" s="24">
        <f t="shared" si="25"/>
        <v>0.821268068331143</v>
      </c>
      <c r="I286" s="27">
        <f>3044+464</f>
        <v>3508</v>
      </c>
      <c r="J286" s="27">
        <f>3852311.52+832484.11</f>
        <v>4684795.63</v>
      </c>
      <c r="K286" s="26">
        <f t="shared" si="32"/>
        <v>0.115427530952381</v>
      </c>
    </row>
    <row r="287" ht="12.75" spans="1:12">
      <c r="A287" s="66">
        <v>46023</v>
      </c>
      <c r="B287" s="27">
        <v>3126</v>
      </c>
      <c r="C287" s="27">
        <v>3992859.23</v>
      </c>
      <c r="D287" s="29">
        <v>2545.41</v>
      </c>
      <c r="E287" s="41">
        <f t="shared" si="22"/>
        <v>0.0930736193271707</v>
      </c>
      <c r="F287" s="23">
        <f t="shared" si="23"/>
        <v>0.136167980056737</v>
      </c>
      <c r="G287" s="23">
        <f t="shared" si="24"/>
        <v>0.106001927546041</v>
      </c>
      <c r="H287" s="24">
        <f t="shared" si="25"/>
        <v>0.814270633397313</v>
      </c>
      <c r="I287" s="27">
        <f>3126+382</f>
        <v>3508</v>
      </c>
      <c r="J287" s="27">
        <f>722343.02+3992859.23</f>
        <v>4715202.25</v>
      </c>
      <c r="K287" s="26">
        <f t="shared" si="32"/>
        <v>0.122667202380952</v>
      </c>
      <c r="L287" s="27">
        <v>1249.71</v>
      </c>
    </row>
    <row r="288" ht="12.75" spans="1:12">
      <c r="A288" s="66">
        <v>46025</v>
      </c>
      <c r="B288" s="27">
        <v>3113</v>
      </c>
      <c r="C288" s="27">
        <v>4065315.59</v>
      </c>
      <c r="D288" s="29">
        <v>2508.47</v>
      </c>
      <c r="E288" s="41">
        <f t="shared" si="22"/>
        <v>0.0900881153977027</v>
      </c>
      <c r="F288" s="23">
        <f t="shared" si="23"/>
        <v>0.131800146910612</v>
      </c>
      <c r="G288" s="23">
        <f t="shared" si="24"/>
        <v>0.102601724851575</v>
      </c>
      <c r="H288" s="24">
        <f t="shared" si="25"/>
        <v>0.805804690009637</v>
      </c>
      <c r="I288" s="27">
        <f>3113+395</f>
        <v>3508</v>
      </c>
      <c r="J288" s="27">
        <f>4065315.59+746709.02</f>
        <v>4812024.61</v>
      </c>
      <c r="K288" s="26">
        <f t="shared" si="32"/>
        <v>0.145720145238095</v>
      </c>
      <c r="L288" s="27">
        <v>1262.6</v>
      </c>
    </row>
    <row r="289" ht="12.75" spans="1:12">
      <c r="A289" s="66">
        <v>46026</v>
      </c>
      <c r="B289" s="27">
        <v>3111</v>
      </c>
      <c r="C289" s="27">
        <v>4017320.94</v>
      </c>
      <c r="D289" s="29">
        <v>2472.09</v>
      </c>
      <c r="E289" s="41">
        <f t="shared" si="22"/>
        <v>0.089842246957745</v>
      </c>
      <c r="F289" s="23">
        <f t="shared" si="23"/>
        <v>0.131440438014893</v>
      </c>
      <c r="G289" s="23">
        <f t="shared" si="24"/>
        <v>0.102321704274889</v>
      </c>
      <c r="H289" s="24">
        <f t="shared" si="25"/>
        <v>0.794628736740598</v>
      </c>
      <c r="I289" s="27">
        <f>3111+397</f>
        <v>3508</v>
      </c>
      <c r="J289" s="27">
        <f>782115.33+4017320.94</f>
        <v>4799436.27</v>
      </c>
      <c r="K289" s="26">
        <f t="shared" si="32"/>
        <v>0.142722921428571</v>
      </c>
      <c r="L289" s="27">
        <v>1259.48</v>
      </c>
    </row>
    <row r="290" ht="12.75" spans="1:12">
      <c r="A290" s="66">
        <v>46030</v>
      </c>
      <c r="B290" s="27">
        <v>3080</v>
      </c>
      <c r="C290" s="27">
        <v>3939245.83</v>
      </c>
      <c r="D290" s="29">
        <v>2319.1</v>
      </c>
      <c r="E290" s="41">
        <f t="shared" ref="E290:E353" si="33">(D290*0.8)*182.5/C290</f>
        <v>0.0859526454077632</v>
      </c>
      <c r="F290" s="23">
        <f t="shared" ref="F290:F353" si="34">(D290*0.8)*267/C290</f>
        <v>0.125749897665056</v>
      </c>
      <c r="G290" s="23">
        <f t="shared" ref="G290:G353" si="35">E290*0.7+F290*0.3</f>
        <v>0.0978918210849512</v>
      </c>
      <c r="H290" s="24">
        <f t="shared" ref="H290:H353" si="36">D290/B290</f>
        <v>0.752954545454545</v>
      </c>
      <c r="I290" s="27">
        <f>3080+428</f>
        <v>3508</v>
      </c>
      <c r="J290" s="27">
        <f>759132.87+3939245.83</f>
        <v>4698378.7</v>
      </c>
      <c r="K290" s="26">
        <f t="shared" si="32"/>
        <v>0.118661595238095</v>
      </c>
    </row>
    <row r="291" ht="12.75" spans="1:12">
      <c r="A291" s="66">
        <v>46038</v>
      </c>
      <c r="B291" s="27">
        <v>3039</v>
      </c>
      <c r="C291" s="27">
        <v>3747324.45</v>
      </c>
      <c r="D291" s="29">
        <v>2085.09</v>
      </c>
      <c r="E291" s="41">
        <f t="shared" si="33"/>
        <v>0.0812374653067471</v>
      </c>
      <c r="F291" s="23">
        <f t="shared" si="34"/>
        <v>0.118851524585761</v>
      </c>
      <c r="G291" s="23">
        <f t="shared" si="35"/>
        <v>0.0925216830904514</v>
      </c>
      <c r="H291" s="24">
        <f t="shared" si="36"/>
        <v>0.686110562685094</v>
      </c>
      <c r="I291" s="27">
        <f>3039+466</f>
        <v>3505</v>
      </c>
      <c r="J291" s="27">
        <f>805178.32+3747324.45</f>
        <v>4552502.77</v>
      </c>
      <c r="K291" s="26">
        <f t="shared" si="32"/>
        <v>0.0839292309523811</v>
      </c>
      <c r="L291" s="27">
        <v>1177.59</v>
      </c>
    </row>
    <row r="292" ht="12.75" spans="1:12">
      <c r="A292" s="66">
        <v>46044</v>
      </c>
      <c r="B292" s="27">
        <v>2989</v>
      </c>
      <c r="C292" s="27">
        <v>3442198.75</v>
      </c>
      <c r="D292" s="29">
        <v>1992.92</v>
      </c>
      <c r="E292" s="41">
        <f t="shared" si="33"/>
        <v>0.0845292038991067</v>
      </c>
      <c r="F292" s="23">
        <f t="shared" si="34"/>
        <v>0.123667383238693</v>
      </c>
      <c r="G292" s="23">
        <f t="shared" si="35"/>
        <v>0.0962706577009826</v>
      </c>
      <c r="H292" s="24">
        <f t="shared" si="36"/>
        <v>0.666751421880228</v>
      </c>
      <c r="I292" s="27">
        <f>2989+516</f>
        <v>3505</v>
      </c>
      <c r="J292" s="27">
        <f>817683.22+3442198.75</f>
        <v>4259881.97</v>
      </c>
      <c r="K292" s="26">
        <f t="shared" si="32"/>
        <v>0.0142576119047618</v>
      </c>
      <c r="L292" s="27">
        <v>1130</v>
      </c>
    </row>
    <row r="293" ht="12.75" spans="1:12">
      <c r="A293" s="66">
        <v>46045</v>
      </c>
      <c r="B293" s="27">
        <v>3010</v>
      </c>
      <c r="C293" s="27">
        <v>3460298</v>
      </c>
      <c r="D293" s="29">
        <v>1993.24</v>
      </c>
      <c r="E293" s="41">
        <f t="shared" si="33"/>
        <v>0.0841005716848665</v>
      </c>
      <c r="F293" s="23">
        <f t="shared" si="34"/>
        <v>0.123040288437585</v>
      </c>
      <c r="G293" s="23">
        <f t="shared" si="35"/>
        <v>0.0957824867106822</v>
      </c>
      <c r="H293" s="24">
        <f t="shared" si="36"/>
        <v>0.662205980066445</v>
      </c>
      <c r="I293" s="27">
        <f>3010+494</f>
        <v>3504</v>
      </c>
      <c r="J293" s="27">
        <f>3460298+790234.46</f>
        <v>4250532.46</v>
      </c>
      <c r="K293" s="26">
        <f t="shared" si="32"/>
        <v>0.0120315380952381</v>
      </c>
      <c r="L293" s="27">
        <v>1111.46</v>
      </c>
    </row>
    <row r="294" ht="12.75" spans="1:12">
      <c r="A294" s="66">
        <v>46046</v>
      </c>
      <c r="B294" s="27">
        <v>3076</v>
      </c>
      <c r="C294" s="27">
        <v>3519723.84</v>
      </c>
      <c r="D294" s="29">
        <v>2017.7</v>
      </c>
      <c r="E294" s="41">
        <f t="shared" si="33"/>
        <v>0.0836952594553555</v>
      </c>
      <c r="F294" s="23">
        <f t="shared" si="34"/>
        <v>0.122447311093589</v>
      </c>
      <c r="G294" s="23">
        <f t="shared" si="35"/>
        <v>0.0953208749468254</v>
      </c>
      <c r="H294" s="24">
        <f t="shared" si="36"/>
        <v>0.655949284785436</v>
      </c>
      <c r="I294" s="27">
        <f>3076+428</f>
        <v>3504</v>
      </c>
      <c r="J294" s="27">
        <f>3519723.84+696335.85</f>
        <v>4216059.69</v>
      </c>
      <c r="K294" s="26">
        <f t="shared" si="32"/>
        <v>0.00382373571428559</v>
      </c>
      <c r="L294" s="27">
        <v>1108.5</v>
      </c>
    </row>
    <row r="295" ht="12.75" spans="1:12">
      <c r="A295" s="66">
        <v>46047</v>
      </c>
      <c r="B295" s="27">
        <v>3011</v>
      </c>
      <c r="C295" s="27">
        <v>3562312.56</v>
      </c>
      <c r="D295" s="29">
        <v>1949.26</v>
      </c>
      <c r="E295" s="41">
        <f t="shared" si="33"/>
        <v>0.0798896658298844</v>
      </c>
      <c r="F295" s="23">
        <f t="shared" si="34"/>
        <v>0.116879675488105</v>
      </c>
      <c r="G295" s="23">
        <f t="shared" si="35"/>
        <v>0.0909866687273505</v>
      </c>
      <c r="H295" s="24">
        <f t="shared" si="36"/>
        <v>0.64737960810362</v>
      </c>
      <c r="I295" s="27">
        <f>3011+492</f>
        <v>3503</v>
      </c>
      <c r="J295" s="27">
        <f>3562312.56+790992.69</f>
        <v>4353305.25</v>
      </c>
      <c r="K295" s="26">
        <f t="shared" si="32"/>
        <v>0.03650125</v>
      </c>
      <c r="L295" s="27">
        <v>1136.57</v>
      </c>
    </row>
    <row r="296" ht="12.75" spans="1:12">
      <c r="A296" s="66">
        <v>46048</v>
      </c>
      <c r="B296" s="27">
        <v>3026</v>
      </c>
      <c r="C296" s="27">
        <v>3550589.01</v>
      </c>
      <c r="D296" s="29">
        <v>1959.52</v>
      </c>
      <c r="E296" s="41">
        <f t="shared" si="33"/>
        <v>0.0805753409347707</v>
      </c>
      <c r="F296" s="23">
        <f t="shared" si="34"/>
        <v>0.117882827559363</v>
      </c>
      <c r="G296" s="23">
        <f t="shared" si="35"/>
        <v>0.0917675869221485</v>
      </c>
      <c r="H296" s="24">
        <f t="shared" si="36"/>
        <v>0.647561136814276</v>
      </c>
      <c r="I296" s="27">
        <f>3026+477</f>
        <v>3503</v>
      </c>
      <c r="J296" s="27">
        <f>3550589.01+773584.94</f>
        <v>4324173.95</v>
      </c>
      <c r="K296" s="26">
        <f t="shared" si="32"/>
        <v>0.029565226190476</v>
      </c>
      <c r="L296" s="27">
        <v>1130.51</v>
      </c>
    </row>
    <row r="297" ht="12.75" spans="1:12">
      <c r="A297" s="66">
        <v>46049</v>
      </c>
      <c r="B297" s="27">
        <v>3038</v>
      </c>
      <c r="C297" s="27">
        <v>3531095.04</v>
      </c>
      <c r="D297" s="29">
        <v>1971.08</v>
      </c>
      <c r="E297" s="41">
        <f t="shared" si="33"/>
        <v>0.0814981405881389</v>
      </c>
      <c r="F297" s="23">
        <f t="shared" si="34"/>
        <v>0.119232896093332</v>
      </c>
      <c r="G297" s="23">
        <f t="shared" si="35"/>
        <v>0.0928185672396968</v>
      </c>
      <c r="H297" s="24">
        <f t="shared" si="36"/>
        <v>0.648808426596445</v>
      </c>
      <c r="I297" s="27">
        <f>3038+465</f>
        <v>3503</v>
      </c>
      <c r="J297" s="27">
        <f>741253+3531095.04</f>
        <v>4272348.04</v>
      </c>
      <c r="K297" s="26">
        <f t="shared" si="32"/>
        <v>0.0172257238095238</v>
      </c>
      <c r="L297" s="27">
        <v>1119.3</v>
      </c>
    </row>
    <row r="298" ht="12.75" spans="1:12">
      <c r="A298" s="66">
        <v>46050</v>
      </c>
      <c r="B298" s="27">
        <v>3024</v>
      </c>
      <c r="C298" s="27">
        <v>3564212.23</v>
      </c>
      <c r="D298" s="29">
        <v>1963.9</v>
      </c>
      <c r="E298" s="41">
        <f t="shared" si="33"/>
        <v>0.0804467808023879</v>
      </c>
      <c r="F298" s="23">
        <f t="shared" si="34"/>
        <v>0.117694742324589</v>
      </c>
      <c r="G298" s="23">
        <f t="shared" si="35"/>
        <v>0.0916211692590483</v>
      </c>
      <c r="H298" s="24">
        <f t="shared" si="36"/>
        <v>0.649437830687831</v>
      </c>
      <c r="I298" s="27">
        <f>3024+480</f>
        <v>3504</v>
      </c>
      <c r="J298" s="27">
        <f>3564212.23+757061.03</f>
        <v>4321273.26</v>
      </c>
      <c r="K298" s="26">
        <f t="shared" si="32"/>
        <v>0.0288745857142857</v>
      </c>
      <c r="L298" s="27">
        <v>1129.41</v>
      </c>
    </row>
    <row r="299" ht="12.75" spans="1:12">
      <c r="A299" s="66">
        <v>46051</v>
      </c>
      <c r="B299" s="27">
        <v>3077</v>
      </c>
      <c r="C299" s="27">
        <v>3726195.35</v>
      </c>
      <c r="D299" s="29">
        <v>2001.76</v>
      </c>
      <c r="E299" s="41">
        <f t="shared" si="33"/>
        <v>0.0784330751741183</v>
      </c>
      <c r="F299" s="23">
        <f t="shared" si="34"/>
        <v>0.114748663405422</v>
      </c>
      <c r="G299" s="23">
        <f t="shared" si="35"/>
        <v>0.0893277516435095</v>
      </c>
      <c r="H299" s="24">
        <f t="shared" si="36"/>
        <v>0.650555736106597</v>
      </c>
      <c r="I299" s="27">
        <f>3077+427</f>
        <v>3504</v>
      </c>
      <c r="J299" s="27">
        <f>544270.55+3726195.35</f>
        <v>4270465.9</v>
      </c>
      <c r="K299" s="26">
        <f t="shared" si="32"/>
        <v>0.0167775952380953</v>
      </c>
      <c r="L299" s="27">
        <v>1121.62</v>
      </c>
    </row>
    <row r="300" ht="12.75" spans="1:12">
      <c r="A300" s="66">
        <v>46052</v>
      </c>
      <c r="B300" s="27">
        <v>3077</v>
      </c>
      <c r="C300" s="27">
        <v>3787411.89</v>
      </c>
      <c r="D300" s="29">
        <v>1998.26</v>
      </c>
      <c r="E300" s="41">
        <f t="shared" si="33"/>
        <v>0.0770304282907028</v>
      </c>
      <c r="F300" s="23">
        <f t="shared" si="34"/>
        <v>0.112696571800645</v>
      </c>
      <c r="G300" s="23">
        <f t="shared" si="35"/>
        <v>0.0877302713436853</v>
      </c>
      <c r="H300" s="24">
        <f t="shared" si="36"/>
        <v>0.649418264543386</v>
      </c>
      <c r="I300" s="27">
        <f>427+3077</f>
        <v>3504</v>
      </c>
      <c r="J300" s="27">
        <f>523001.68+3787411.89</f>
        <v>4310413.57</v>
      </c>
      <c r="K300" s="26">
        <f t="shared" si="32"/>
        <v>0.0262889452380953</v>
      </c>
      <c r="L300" s="27">
        <v>1131.54</v>
      </c>
    </row>
    <row r="301" ht="12.75" spans="1:12">
      <c r="A301" s="66">
        <v>46053</v>
      </c>
      <c r="B301" s="27">
        <v>3061</v>
      </c>
      <c r="C301" s="27">
        <v>3784479.57</v>
      </c>
      <c r="D301" s="29">
        <v>1985.63</v>
      </c>
      <c r="E301" s="41">
        <f t="shared" si="33"/>
        <v>0.0766028656352345</v>
      </c>
      <c r="F301" s="23">
        <f t="shared" si="34"/>
        <v>0.112071041778672</v>
      </c>
      <c r="G301" s="23">
        <f t="shared" si="35"/>
        <v>0.0872433184782657</v>
      </c>
      <c r="H301" s="24">
        <f t="shared" si="36"/>
        <v>0.648686703691604</v>
      </c>
      <c r="I301" s="27">
        <f>444+3061</f>
        <v>3505</v>
      </c>
      <c r="J301" s="27">
        <f>531583.77+3784479.57</f>
        <v>4316063.34</v>
      </c>
      <c r="K301" s="26">
        <f t="shared" si="32"/>
        <v>0.0276341285714285</v>
      </c>
      <c r="L301" s="27">
        <v>1134.16</v>
      </c>
    </row>
    <row r="302" ht="12.75" spans="1:12">
      <c r="A302" s="66">
        <v>46055</v>
      </c>
      <c r="B302" s="27">
        <v>3100</v>
      </c>
      <c r="C302" s="27">
        <v>3801949.68</v>
      </c>
      <c r="D302" s="29">
        <v>2022.31</v>
      </c>
      <c r="E302" s="41">
        <f t="shared" si="33"/>
        <v>0.0776594339354854</v>
      </c>
      <c r="F302" s="23">
        <f t="shared" si="34"/>
        <v>0.113616815675477</v>
      </c>
      <c r="G302" s="23">
        <f t="shared" si="35"/>
        <v>0.088446648457483</v>
      </c>
      <c r="H302" s="24">
        <f t="shared" si="36"/>
        <v>0.652358064516129</v>
      </c>
      <c r="I302" s="27">
        <f>3100+402</f>
        <v>3502</v>
      </c>
      <c r="J302" s="27">
        <f>3801949.68+430424.7</f>
        <v>4232374.38</v>
      </c>
      <c r="K302" s="26">
        <f t="shared" si="32"/>
        <v>0.00770818571428569</v>
      </c>
      <c r="L302" s="27">
        <v>1115.87</v>
      </c>
    </row>
    <row r="303" ht="12.75" spans="1:12">
      <c r="A303" s="66">
        <v>46056</v>
      </c>
      <c r="B303" s="27">
        <v>3065</v>
      </c>
      <c r="C303" s="27">
        <v>3728433.02</v>
      </c>
      <c r="D303" s="29">
        <v>1987.56</v>
      </c>
      <c r="E303" s="41">
        <f t="shared" si="33"/>
        <v>0.0778299512002498</v>
      </c>
      <c r="F303" s="23">
        <f t="shared" si="34"/>
        <v>0.113866284769681</v>
      </c>
      <c r="G303" s="23">
        <f t="shared" si="35"/>
        <v>0.088640851271079</v>
      </c>
      <c r="H303" s="24">
        <f t="shared" si="36"/>
        <v>0.648469820554649</v>
      </c>
      <c r="I303" s="27">
        <f>437+3065</f>
        <v>3502</v>
      </c>
      <c r="J303" s="27">
        <f>456704.55+3728433.02</f>
        <v>4185137.57</v>
      </c>
      <c r="K303" s="26">
        <f t="shared" si="32"/>
        <v>-0.00353867380952385</v>
      </c>
      <c r="L303" s="27">
        <v>1102.52</v>
      </c>
    </row>
    <row r="304" ht="12.75" spans="1:12">
      <c r="A304" s="66">
        <v>46057</v>
      </c>
      <c r="B304" s="27">
        <v>3062</v>
      </c>
      <c r="C304" s="27">
        <v>3659235.19</v>
      </c>
      <c r="D304" s="29">
        <v>1946.1</v>
      </c>
      <c r="E304" s="41">
        <f t="shared" si="33"/>
        <v>0.0776475370526812</v>
      </c>
      <c r="F304" s="23">
        <f t="shared" si="34"/>
        <v>0.113599410372964</v>
      </c>
      <c r="G304" s="23">
        <f t="shared" si="35"/>
        <v>0.088433099048766</v>
      </c>
      <c r="H304" s="24">
        <f t="shared" si="36"/>
        <v>0.635564990202482</v>
      </c>
      <c r="I304" s="27">
        <f>3062+440</f>
        <v>3502</v>
      </c>
      <c r="J304" s="27">
        <f>478921.19+3659235.19</f>
        <v>4138156.38</v>
      </c>
      <c r="K304" s="26">
        <f t="shared" si="32"/>
        <v>-0.0147246714285715</v>
      </c>
      <c r="L304" s="27">
        <v>1090.06</v>
      </c>
    </row>
    <row r="305" ht="12.75" spans="1:12">
      <c r="A305" s="66">
        <v>46058</v>
      </c>
      <c r="B305" s="27">
        <v>3085</v>
      </c>
      <c r="C305" s="27">
        <v>3648956.18</v>
      </c>
      <c r="D305" s="29">
        <v>1941.07</v>
      </c>
      <c r="E305" s="41">
        <f t="shared" si="33"/>
        <v>0.0776650104907535</v>
      </c>
      <c r="F305" s="23">
        <f t="shared" si="34"/>
        <v>0.113624974252226</v>
      </c>
      <c r="G305" s="23">
        <f t="shared" si="35"/>
        <v>0.0884529996191952</v>
      </c>
      <c r="H305" s="24">
        <f t="shared" si="36"/>
        <v>0.629196110210697</v>
      </c>
      <c r="I305" s="27">
        <f>417+3085</f>
        <v>3502</v>
      </c>
      <c r="J305" s="27">
        <f>462119.95+3648956.18</f>
        <v>4111076.13</v>
      </c>
      <c r="K305" s="26">
        <f t="shared" si="32"/>
        <v>-0.0211723499999999</v>
      </c>
      <c r="L305" s="27">
        <v>1086.41</v>
      </c>
    </row>
    <row r="306" ht="12.75" spans="1:12">
      <c r="A306" s="66">
        <v>46059</v>
      </c>
      <c r="B306" s="27">
        <v>3073</v>
      </c>
      <c r="C306" s="27">
        <v>3654790.86</v>
      </c>
      <c r="D306" s="29">
        <v>1927.18</v>
      </c>
      <c r="E306" s="41">
        <f t="shared" si="33"/>
        <v>0.0769861507205367</v>
      </c>
      <c r="F306" s="23">
        <f t="shared" si="34"/>
        <v>0.11263179310895</v>
      </c>
      <c r="G306" s="23">
        <f t="shared" si="35"/>
        <v>0.0876798434370606</v>
      </c>
      <c r="H306" s="24">
        <f t="shared" si="36"/>
        <v>0.627133094695737</v>
      </c>
      <c r="I306" s="27">
        <f>3073+429</f>
        <v>3502</v>
      </c>
      <c r="J306" s="27">
        <f>491278.59+3654790.86</f>
        <v>4146069.45</v>
      </c>
      <c r="K306" s="26">
        <f t="shared" si="32"/>
        <v>-0.0128406071428572</v>
      </c>
      <c r="L306" s="27">
        <v>1096.52</v>
      </c>
    </row>
    <row r="307" ht="12.75" spans="1:12">
      <c r="A307" s="66">
        <v>46060</v>
      </c>
      <c r="B307" s="27">
        <v>3067</v>
      </c>
      <c r="C307" s="27">
        <v>3588263.86</v>
      </c>
      <c r="D307" s="29">
        <v>1913.23</v>
      </c>
      <c r="E307" s="41">
        <f t="shared" si="33"/>
        <v>0.0778458861718157</v>
      </c>
      <c r="F307" s="23">
        <f t="shared" si="34"/>
        <v>0.113889597851369</v>
      </c>
      <c r="G307" s="23">
        <f t="shared" si="35"/>
        <v>0.0886589996756816</v>
      </c>
      <c r="H307" s="24">
        <f t="shared" si="36"/>
        <v>0.623811542223671</v>
      </c>
      <c r="I307" s="27">
        <f>3067+434</f>
        <v>3501</v>
      </c>
      <c r="J307" s="27">
        <f>3588263.86+514198.3</f>
        <v>4102462.16</v>
      </c>
      <c r="K307" s="26">
        <f t="shared" ref="K307:K322" si="37">(J307-4200000)/4200000</f>
        <v>-0.0232232952380953</v>
      </c>
      <c r="L307" s="27">
        <v>1088.61</v>
      </c>
    </row>
    <row r="308" ht="12.75" spans="1:12">
      <c r="A308" s="66">
        <v>46061</v>
      </c>
      <c r="B308" s="27">
        <v>3117</v>
      </c>
      <c r="C308" s="27">
        <v>3580456.95</v>
      </c>
      <c r="D308" s="29">
        <v>1939.64</v>
      </c>
      <c r="E308" s="41">
        <f t="shared" si="33"/>
        <v>0.0790925415260195</v>
      </c>
      <c r="F308" s="23">
        <f t="shared" si="34"/>
        <v>0.115713471712039</v>
      </c>
      <c r="G308" s="23">
        <f t="shared" si="35"/>
        <v>0.0900788205818255</v>
      </c>
      <c r="H308" s="24">
        <f t="shared" si="36"/>
        <v>0.622277831247995</v>
      </c>
      <c r="I308" s="27">
        <f>3117+387</f>
        <v>3504</v>
      </c>
      <c r="J308" s="27">
        <f>466346.44+3580456.95</f>
        <v>4046803.39</v>
      </c>
      <c r="K308" s="26">
        <f t="shared" si="37"/>
        <v>-0.0364753833333333</v>
      </c>
      <c r="L308" s="27">
        <v>1075.74</v>
      </c>
    </row>
    <row r="309" ht="12.75" spans="1:12">
      <c r="A309" s="66">
        <v>46062</v>
      </c>
      <c r="B309" s="27">
        <v>3068</v>
      </c>
      <c r="C309" s="27">
        <v>3561080.97</v>
      </c>
      <c r="D309" s="29">
        <v>1920.55</v>
      </c>
      <c r="E309" s="41">
        <f t="shared" si="33"/>
        <v>0.0787402202764291</v>
      </c>
      <c r="F309" s="23">
        <f t="shared" si="34"/>
        <v>0.11519802089757</v>
      </c>
      <c r="G309" s="23">
        <f t="shared" si="35"/>
        <v>0.0896775604627715</v>
      </c>
      <c r="H309" s="24">
        <f t="shared" si="36"/>
        <v>0.625994132985658</v>
      </c>
      <c r="I309" s="27">
        <f>3068+435</f>
        <v>3503</v>
      </c>
      <c r="J309" s="27">
        <f>519667.88+3561080.97</f>
        <v>4080748.85</v>
      </c>
      <c r="K309" s="26">
        <f t="shared" si="37"/>
        <v>-0.0283931309523809</v>
      </c>
      <c r="L309" s="27">
        <v>1083.84</v>
      </c>
    </row>
    <row r="310" ht="12.75" spans="1:12">
      <c r="A310" s="66">
        <v>46063</v>
      </c>
      <c r="B310" s="27">
        <v>2992</v>
      </c>
      <c r="C310" s="27">
        <v>3539380.21</v>
      </c>
      <c r="D310" s="29">
        <v>1862.24</v>
      </c>
      <c r="E310" s="41">
        <f t="shared" si="33"/>
        <v>0.076817697977692</v>
      </c>
      <c r="F310" s="23">
        <f t="shared" si="34"/>
        <v>0.112385344438596</v>
      </c>
      <c r="G310" s="23">
        <f t="shared" si="35"/>
        <v>0.0874879919159632</v>
      </c>
      <c r="H310" s="24">
        <f t="shared" si="36"/>
        <v>0.622406417112299</v>
      </c>
      <c r="I310" s="27">
        <f>2992+511</f>
        <v>3503</v>
      </c>
      <c r="J310" s="27">
        <f>3539380.21+619280.04</f>
        <v>4158660.25</v>
      </c>
      <c r="K310" s="26">
        <f t="shared" si="37"/>
        <v>-0.00984279761904762</v>
      </c>
      <c r="L310" s="27">
        <v>1103.61</v>
      </c>
    </row>
    <row r="311" ht="12.75" spans="1:12">
      <c r="A311" s="66">
        <v>46064</v>
      </c>
      <c r="B311" s="27">
        <v>3032</v>
      </c>
      <c r="C311" s="27">
        <v>3691246.57</v>
      </c>
      <c r="D311" s="29">
        <v>1881.99</v>
      </c>
      <c r="E311" s="41">
        <f t="shared" si="33"/>
        <v>0.0744384139041679</v>
      </c>
      <c r="F311" s="23">
        <f t="shared" si="34"/>
        <v>0.108904419246098</v>
      </c>
      <c r="G311" s="23">
        <f t="shared" si="35"/>
        <v>0.0847782155067468</v>
      </c>
      <c r="H311" s="24">
        <f t="shared" si="36"/>
        <v>0.620709102902375</v>
      </c>
      <c r="I311" s="27">
        <f>3032+469</f>
        <v>3501</v>
      </c>
      <c r="J311" s="27">
        <f>3691246.57+595977.04</f>
        <v>4287223.61</v>
      </c>
      <c r="K311" s="26">
        <f t="shared" si="37"/>
        <v>0.020767526190476</v>
      </c>
      <c r="L311" s="27">
        <v>1130.21</v>
      </c>
    </row>
    <row r="312" ht="12.75" spans="1:12">
      <c r="A312" s="66">
        <v>46065</v>
      </c>
      <c r="B312" s="27">
        <v>3034</v>
      </c>
      <c r="C312" s="27">
        <v>3745667.38</v>
      </c>
      <c r="D312" s="29">
        <v>1872.14</v>
      </c>
      <c r="E312" s="41">
        <f t="shared" si="33"/>
        <v>0.0729729610961879</v>
      </c>
      <c r="F312" s="23">
        <f t="shared" si="34"/>
        <v>0.106760441713327</v>
      </c>
      <c r="G312" s="23">
        <f t="shared" si="35"/>
        <v>0.0831092052813296</v>
      </c>
      <c r="H312" s="24">
        <f t="shared" si="36"/>
        <v>0.617053394858273</v>
      </c>
      <c r="I312" s="27">
        <f>3034+468</f>
        <v>3502</v>
      </c>
      <c r="J312" s="27">
        <f>3745667.38+599278.55</f>
        <v>4344945.93</v>
      </c>
      <c r="K312" s="26">
        <f t="shared" si="37"/>
        <v>0.0345109357142856</v>
      </c>
      <c r="L312" s="27">
        <v>1142.54</v>
      </c>
    </row>
    <row r="313" ht="12.75" spans="1:12">
      <c r="A313" s="66">
        <v>46066</v>
      </c>
      <c r="B313" s="27">
        <v>3014</v>
      </c>
      <c r="C313" s="27">
        <v>3729074.79</v>
      </c>
      <c r="D313" s="29">
        <v>1855.36</v>
      </c>
      <c r="E313" s="41">
        <f t="shared" si="33"/>
        <v>0.0726406884427223</v>
      </c>
      <c r="F313" s="23">
        <f t="shared" si="34"/>
        <v>0.106274322269627</v>
      </c>
      <c r="G313" s="23">
        <f t="shared" si="35"/>
        <v>0.0827307785907936</v>
      </c>
      <c r="H313" s="24">
        <f t="shared" si="36"/>
        <v>0.615580623755806</v>
      </c>
      <c r="I313" s="27">
        <f>3014+477</f>
        <v>3491</v>
      </c>
      <c r="J313" s="27">
        <f>3729074.79+590170.7</f>
        <v>4319245.49</v>
      </c>
      <c r="K313" s="26">
        <f t="shared" si="37"/>
        <v>0.0283917833333334</v>
      </c>
      <c r="L313" s="27">
        <v>1147.58</v>
      </c>
    </row>
    <row r="314" ht="12.75" spans="1:12">
      <c r="A314" s="66">
        <v>46067</v>
      </c>
      <c r="B314" s="27">
        <v>3009</v>
      </c>
      <c r="C314" s="27">
        <v>3726281.46</v>
      </c>
      <c r="D314" s="29">
        <v>1858.16</v>
      </c>
      <c r="E314" s="41">
        <f t="shared" si="33"/>
        <v>0.072804849261172</v>
      </c>
      <c r="F314" s="23">
        <f t="shared" si="34"/>
        <v>0.106514491795797</v>
      </c>
      <c r="G314" s="23">
        <f t="shared" si="35"/>
        <v>0.0829177420215595</v>
      </c>
      <c r="H314" s="24">
        <f t="shared" si="36"/>
        <v>0.617534064473247</v>
      </c>
      <c r="I314" s="27">
        <f>3009+491</f>
        <v>3500</v>
      </c>
      <c r="J314" s="27">
        <f>3726281.46+613748.5</f>
        <v>4340029.96</v>
      </c>
      <c r="K314" s="26">
        <f t="shared" si="37"/>
        <v>0.0333404666666667</v>
      </c>
      <c r="L314" s="27">
        <v>1144.55</v>
      </c>
    </row>
    <row r="315" ht="12.75" spans="1:12">
      <c r="A315" s="66">
        <v>46068</v>
      </c>
      <c r="B315" s="27">
        <v>3026</v>
      </c>
      <c r="C315" s="27">
        <v>3837645.21</v>
      </c>
      <c r="D315" s="29">
        <v>1874.77</v>
      </c>
      <c r="E315" s="41">
        <f t="shared" si="33"/>
        <v>0.0713240555137196</v>
      </c>
      <c r="F315" s="23">
        <f t="shared" si="34"/>
        <v>0.104348070258428</v>
      </c>
      <c r="G315" s="23">
        <f t="shared" si="35"/>
        <v>0.0812312599371321</v>
      </c>
      <c r="H315" s="24">
        <f t="shared" si="36"/>
        <v>0.619553866490416</v>
      </c>
      <c r="I315" s="27">
        <f>3026+474</f>
        <v>3500</v>
      </c>
      <c r="J315" s="27">
        <f>3837645.21+578897.67</f>
        <v>4416542.88</v>
      </c>
      <c r="K315" s="26">
        <f t="shared" si="37"/>
        <v>0.0515578285714285</v>
      </c>
      <c r="L315" s="27">
        <v>1158.63</v>
      </c>
    </row>
    <row r="316" ht="12.75" spans="1:12">
      <c r="A316" s="66">
        <v>46069</v>
      </c>
      <c r="B316" s="27">
        <v>3004</v>
      </c>
      <c r="C316" s="27">
        <v>3837946.07</v>
      </c>
      <c r="D316" s="29">
        <v>1868.47</v>
      </c>
      <c r="E316" s="41">
        <f t="shared" si="33"/>
        <v>0.0710788049192156</v>
      </c>
      <c r="F316" s="23">
        <f t="shared" si="34"/>
        <v>0.103989265279072</v>
      </c>
      <c r="G316" s="23">
        <f t="shared" si="35"/>
        <v>0.0809519430271723</v>
      </c>
      <c r="H316" s="24">
        <f t="shared" si="36"/>
        <v>0.621994007989348</v>
      </c>
      <c r="I316" s="27">
        <f>3004+497</f>
        <v>3501</v>
      </c>
      <c r="J316" s="27">
        <f>3837946.07+607032.12</f>
        <v>4444978.19</v>
      </c>
      <c r="K316" s="26">
        <f t="shared" si="37"/>
        <v>0.0583281404761904</v>
      </c>
      <c r="L316" s="27">
        <v>1164.82</v>
      </c>
    </row>
    <row r="317" ht="12.75" spans="1:12">
      <c r="A317" s="66">
        <v>46070</v>
      </c>
      <c r="B317" s="27">
        <v>3029</v>
      </c>
      <c r="C317" s="27">
        <v>3840587.44</v>
      </c>
      <c r="D317" s="29">
        <v>1852.28</v>
      </c>
      <c r="E317" s="41">
        <f t="shared" si="33"/>
        <v>0.0704144572216796</v>
      </c>
      <c r="F317" s="23">
        <f t="shared" si="34"/>
        <v>0.103017315496923</v>
      </c>
      <c r="G317" s="23">
        <f t="shared" si="35"/>
        <v>0.0801953147042526</v>
      </c>
      <c r="H317" s="24">
        <f t="shared" si="36"/>
        <v>0.611515351601189</v>
      </c>
      <c r="I317" s="27">
        <f>470+3029</f>
        <v>3499</v>
      </c>
      <c r="J317" s="27">
        <f>3840587.44+576554.52</f>
        <v>4417141.96</v>
      </c>
      <c r="K317" s="26">
        <f t="shared" si="37"/>
        <v>0.0517004666666667</v>
      </c>
      <c r="L317" s="27">
        <v>1159.7</v>
      </c>
    </row>
    <row r="318" ht="12.75" spans="1:12">
      <c r="A318" s="66">
        <v>46071</v>
      </c>
      <c r="B318" s="27">
        <v>3064</v>
      </c>
      <c r="C318" s="27">
        <v>3871322.85</v>
      </c>
      <c r="D318" s="29">
        <v>1855.81</v>
      </c>
      <c r="E318" s="41">
        <f t="shared" si="33"/>
        <v>0.0699885466798513</v>
      </c>
      <c r="F318" s="23">
        <f t="shared" si="34"/>
        <v>0.102394202539837</v>
      </c>
      <c r="G318" s="23">
        <f t="shared" si="35"/>
        <v>0.0797102434378471</v>
      </c>
      <c r="H318" s="24">
        <f t="shared" si="36"/>
        <v>0.605682114882507</v>
      </c>
      <c r="I318" s="27">
        <f>3064+436</f>
        <v>3500</v>
      </c>
      <c r="J318" s="27">
        <f>3871322.85+537649.55</f>
        <v>4408972.4</v>
      </c>
      <c r="K318" s="26">
        <f t="shared" si="37"/>
        <v>0.0497553333333334</v>
      </c>
      <c r="L318" s="27">
        <v>1154.85</v>
      </c>
    </row>
    <row r="319" ht="12.75" spans="1:12">
      <c r="A319" s="66">
        <v>46072</v>
      </c>
      <c r="B319" s="27">
        <v>3030</v>
      </c>
      <c r="C319" s="27">
        <v>3842742.56</v>
      </c>
      <c r="D319" s="29">
        <v>1829.09</v>
      </c>
      <c r="E319" s="41">
        <f t="shared" si="33"/>
        <v>0.0694938929242244</v>
      </c>
      <c r="F319" s="23">
        <f t="shared" si="34"/>
        <v>0.101670517319276</v>
      </c>
      <c r="G319" s="23">
        <f t="shared" si="35"/>
        <v>0.07914688024274</v>
      </c>
      <c r="H319" s="24">
        <f t="shared" si="36"/>
        <v>0.603660066006601</v>
      </c>
      <c r="I319" s="27">
        <f>3030+470</f>
        <v>3500</v>
      </c>
      <c r="J319" s="27">
        <f>3842742.56+575392.71</f>
        <v>4418135.27</v>
      </c>
      <c r="K319" s="26">
        <f t="shared" si="37"/>
        <v>0.0519369690476189</v>
      </c>
      <c r="L319" s="27">
        <v>1153.37</v>
      </c>
    </row>
    <row r="320" ht="12.75" spans="1:12">
      <c r="A320" s="66">
        <v>46073</v>
      </c>
      <c r="B320" s="27">
        <v>3040</v>
      </c>
      <c r="C320" s="27">
        <v>3822620.36</v>
      </c>
      <c r="D320" s="29">
        <v>1830.42</v>
      </c>
      <c r="E320" s="41">
        <f t="shared" si="33"/>
        <v>0.0699105050547055</v>
      </c>
      <c r="F320" s="23">
        <f t="shared" si="34"/>
        <v>0.102280026573186</v>
      </c>
      <c r="G320" s="23">
        <f t="shared" si="35"/>
        <v>0.0796213615102495</v>
      </c>
      <c r="H320" s="24">
        <f t="shared" si="36"/>
        <v>0.602111842105263</v>
      </c>
      <c r="I320" s="27">
        <f>3040+460</f>
        <v>3500</v>
      </c>
      <c r="J320" s="27">
        <f>3822620.36+574139.05</f>
        <v>4396759.41</v>
      </c>
      <c r="K320" s="26">
        <f t="shared" si="37"/>
        <v>0.0468474785714286</v>
      </c>
      <c r="L320" s="27">
        <v>1148.49</v>
      </c>
    </row>
    <row r="321" ht="12.75" spans="1:13">
      <c r="A321" s="66">
        <v>46074</v>
      </c>
      <c r="B321" s="27">
        <v>3038</v>
      </c>
      <c r="C321" s="27">
        <v>3825375.31</v>
      </c>
      <c r="D321" s="29">
        <v>1838.17</v>
      </c>
      <c r="E321" s="41">
        <f t="shared" si="33"/>
        <v>0.0701559450385013</v>
      </c>
      <c r="F321" s="23">
        <f t="shared" si="34"/>
        <v>0.10263910863167</v>
      </c>
      <c r="G321" s="23">
        <f t="shared" si="35"/>
        <v>0.0799008941164521</v>
      </c>
      <c r="H321" s="24">
        <f t="shared" si="36"/>
        <v>0.605059249506254</v>
      </c>
      <c r="I321" s="27">
        <f>3038+462</f>
        <v>3500</v>
      </c>
      <c r="J321" s="27">
        <f>3825375.31+591292.18</f>
        <v>4416667.49</v>
      </c>
      <c r="K321" s="26">
        <f t="shared" si="37"/>
        <v>0.0515874976190477</v>
      </c>
      <c r="L321" s="27">
        <v>1148.51</v>
      </c>
    </row>
    <row r="322" ht="12.75" spans="1:13">
      <c r="A322" s="66">
        <v>46075</v>
      </c>
      <c r="B322" s="27">
        <v>3054</v>
      </c>
      <c r="C322" s="27">
        <v>3808425.37</v>
      </c>
      <c r="D322" s="29">
        <v>1852.74</v>
      </c>
      <c r="E322" s="41">
        <f t="shared" si="33"/>
        <v>0.0710267403769553</v>
      </c>
      <c r="F322" s="23">
        <f t="shared" si="34"/>
        <v>0.103913094140532</v>
      </c>
      <c r="G322" s="23">
        <f t="shared" si="35"/>
        <v>0.0808926465060283</v>
      </c>
      <c r="H322" s="24">
        <f t="shared" si="36"/>
        <v>0.606660117878193</v>
      </c>
      <c r="I322" s="27">
        <f>3054+446</f>
        <v>3500</v>
      </c>
      <c r="J322" s="27">
        <f>3808425.37+571453.34</f>
        <v>4379878.71</v>
      </c>
      <c r="K322" s="26">
        <f t="shared" si="37"/>
        <v>0.0428282642857143</v>
      </c>
      <c r="L322" s="27">
        <v>1140.91</v>
      </c>
    </row>
    <row r="323" ht="12.75" spans="1:13">
      <c r="A323" s="66">
        <v>46076</v>
      </c>
      <c r="B323" s="27">
        <v>2997</v>
      </c>
      <c r="C323" s="27">
        <v>3663446.04</v>
      </c>
      <c r="D323" s="29">
        <v>1836.01</v>
      </c>
      <c r="E323" s="41">
        <f t="shared" si="33"/>
        <v>0.0731708498154923</v>
      </c>
      <c r="F323" s="23">
        <f t="shared" si="34"/>
        <v>0.107049955620474</v>
      </c>
      <c r="G323" s="23">
        <f t="shared" si="35"/>
        <v>0.0833345815569867</v>
      </c>
      <c r="H323" s="24">
        <f t="shared" si="36"/>
        <v>0.612615949282616</v>
      </c>
      <c r="I323" s="27">
        <f>2997+587</f>
        <v>3584</v>
      </c>
      <c r="J323" s="27">
        <f>3663446.04+759676.47</f>
        <v>4423122.51</v>
      </c>
      <c r="K323" s="26">
        <f>(J323-4258106)/4258106</f>
        <v>0.0387534997954489</v>
      </c>
      <c r="L323" s="27">
        <v>1133.49</v>
      </c>
      <c r="M323" s="27" t="s">
        <v>34</v>
      </c>
    </row>
    <row r="324" ht="12.75" spans="1:13">
      <c r="A324" s="66">
        <v>46077</v>
      </c>
      <c r="B324" s="27">
        <v>2982</v>
      </c>
      <c r="C324" s="27">
        <v>3609266.15</v>
      </c>
      <c r="D324" s="29">
        <v>1839.21</v>
      </c>
      <c r="E324" s="41">
        <f t="shared" si="33"/>
        <v>0.0743986862814204</v>
      </c>
      <c r="F324" s="23">
        <f t="shared" si="34"/>
        <v>0.108846297189804</v>
      </c>
      <c r="G324" s="23">
        <f t="shared" si="35"/>
        <v>0.0847329695539355</v>
      </c>
      <c r="H324" s="24">
        <f t="shared" si="36"/>
        <v>0.616770623742455</v>
      </c>
      <c r="I324" s="27">
        <f>2982+684</f>
        <v>3666</v>
      </c>
      <c r="J324" s="27">
        <f>3609266.15+896054.83</f>
        <v>4505320.98</v>
      </c>
      <c r="K324" s="26">
        <f>(J324-4309420)/4309420</f>
        <v>0.0454587809960504</v>
      </c>
      <c r="L324" s="27">
        <v>1138.44</v>
      </c>
    </row>
    <row r="325" ht="12.75" spans="1:13">
      <c r="A325" s="66">
        <v>46078</v>
      </c>
      <c r="B325" s="27">
        <v>2929</v>
      </c>
      <c r="C325" s="27">
        <v>3521425.38</v>
      </c>
      <c r="D325" s="29">
        <v>1843</v>
      </c>
      <c r="E325" s="41">
        <f t="shared" si="33"/>
        <v>0.0764116716850607</v>
      </c>
      <c r="F325" s="23">
        <f t="shared" si="34"/>
        <v>0.111791322410472</v>
      </c>
      <c r="G325" s="23">
        <f t="shared" si="35"/>
        <v>0.0870255669026842</v>
      </c>
      <c r="H325" s="24">
        <f t="shared" si="36"/>
        <v>0.629224991464664</v>
      </c>
      <c r="I325" s="27">
        <f>2929+795</f>
        <v>3724</v>
      </c>
      <c r="J325" s="27">
        <f>3521425.38+1054234.04</f>
        <v>4575659.42</v>
      </c>
      <c r="K325" s="26">
        <f>(J325-4358737)/(4358737)</f>
        <v>0.0497672651504323</v>
      </c>
      <c r="L325" s="27">
        <v>1145.39</v>
      </c>
    </row>
    <row r="326" ht="12.75" spans="1:13">
      <c r="A326" s="66">
        <v>46079</v>
      </c>
      <c r="B326" s="27">
        <v>2875</v>
      </c>
      <c r="C326" s="27">
        <v>3401317.7</v>
      </c>
      <c r="D326" s="29">
        <v>1813.86</v>
      </c>
      <c r="E326" s="41">
        <f t="shared" si="33"/>
        <v>0.0778591073688882</v>
      </c>
      <c r="F326" s="23">
        <f t="shared" si="34"/>
        <v>0.113908940643798</v>
      </c>
      <c r="G326" s="23">
        <f t="shared" si="35"/>
        <v>0.0886740573513612</v>
      </c>
      <c r="H326" s="24">
        <f t="shared" si="36"/>
        <v>0.630907826086957</v>
      </c>
      <c r="I326" s="27">
        <f>2875+886</f>
        <v>3761</v>
      </c>
      <c r="J326" s="27">
        <f>3401317.7+1200553.22</f>
        <v>4601870.92</v>
      </c>
      <c r="K326" s="26">
        <f t="shared" ref="K326:K368" si="38">(J326-4400000)/(4400000)</f>
        <v>0.0458797545454545</v>
      </c>
      <c r="L326" s="27">
        <v>1142.95</v>
      </c>
    </row>
    <row r="327" ht="12.75" spans="1:13">
      <c r="A327" s="66">
        <v>46080</v>
      </c>
      <c r="B327" s="27">
        <v>2894</v>
      </c>
      <c r="C327" s="27">
        <v>3399330.62</v>
      </c>
      <c r="D327" s="29">
        <v>1820.44</v>
      </c>
      <c r="E327" s="41">
        <f t="shared" si="33"/>
        <v>0.0781872285197137</v>
      </c>
      <c r="F327" s="23">
        <f t="shared" si="34"/>
        <v>0.114388986382266</v>
      </c>
      <c r="G327" s="23">
        <f t="shared" si="35"/>
        <v>0.0890477558784794</v>
      </c>
      <c r="H327" s="24">
        <f t="shared" si="36"/>
        <v>0.629039391845197</v>
      </c>
      <c r="I327" s="27">
        <f>2894+864</f>
        <v>3758</v>
      </c>
      <c r="J327" s="27">
        <f>3399330.62+1159805.86</f>
        <v>4559136.48</v>
      </c>
      <c r="K327" s="26">
        <f t="shared" si="38"/>
        <v>0.0361673818181819</v>
      </c>
      <c r="L327" s="27">
        <v>1142.56</v>
      </c>
    </row>
    <row r="328" ht="12.75" spans="1:13">
      <c r="A328" s="66">
        <v>46081</v>
      </c>
      <c r="B328" s="27">
        <v>2874</v>
      </c>
      <c r="C328" s="27">
        <v>3362961.68</v>
      </c>
      <c r="D328" s="29">
        <v>1813.19</v>
      </c>
      <c r="E328" s="41">
        <f t="shared" si="33"/>
        <v>0.0787180364184227</v>
      </c>
      <c r="F328" s="23">
        <f t="shared" si="34"/>
        <v>0.115165565609418</v>
      </c>
      <c r="G328" s="23">
        <f t="shared" si="35"/>
        <v>0.0896522951757214</v>
      </c>
      <c r="H328" s="24">
        <f t="shared" si="36"/>
        <v>0.63089422407794</v>
      </c>
      <c r="I328" s="27">
        <f>2874+904</f>
        <v>3778</v>
      </c>
      <c r="J328" s="27">
        <f>3362961.68+1284583.25</f>
        <v>4647544.93</v>
      </c>
      <c r="K328" s="26">
        <f t="shared" si="38"/>
        <v>0.0562602113636363</v>
      </c>
      <c r="L328" s="27">
        <v>1150.55</v>
      </c>
    </row>
    <row r="329" ht="12.75" spans="1:13">
      <c r="A329" s="66">
        <v>46082</v>
      </c>
      <c r="B329" s="27">
        <v>2855</v>
      </c>
      <c r="C329" s="27">
        <v>3316455.38</v>
      </c>
      <c r="D329" s="29">
        <v>1831.86</v>
      </c>
      <c r="E329" s="41">
        <f t="shared" si="33"/>
        <v>0.0806437986812294</v>
      </c>
      <c r="F329" s="23">
        <f t="shared" si="34"/>
        <v>0.11798298218021</v>
      </c>
      <c r="G329" s="23">
        <f t="shared" si="35"/>
        <v>0.0918455537309234</v>
      </c>
      <c r="H329" s="24">
        <f t="shared" si="36"/>
        <v>0.641632224168126</v>
      </c>
      <c r="I329" s="27">
        <f>2855+917</f>
        <v>3772</v>
      </c>
      <c r="J329" s="27">
        <f>3316455.38+1331751.75</f>
        <v>4648207.13</v>
      </c>
      <c r="K329" s="26">
        <f t="shared" si="38"/>
        <v>0.0564107113636363</v>
      </c>
      <c r="L329" s="27">
        <v>1154.2</v>
      </c>
    </row>
    <row r="330" ht="12.75" spans="1:13">
      <c r="A330" s="66">
        <v>46083</v>
      </c>
      <c r="B330" s="27">
        <v>2861</v>
      </c>
      <c r="C330" s="27">
        <v>3304465.48</v>
      </c>
      <c r="D330" s="29">
        <v>1848.13</v>
      </c>
      <c r="E330" s="41">
        <f t="shared" si="33"/>
        <v>0.0816552576000885</v>
      </c>
      <c r="F330" s="23">
        <f t="shared" si="34"/>
        <v>0.119462760434102</v>
      </c>
      <c r="G330" s="23">
        <f t="shared" si="35"/>
        <v>0.0929975084502926</v>
      </c>
      <c r="H330" s="24">
        <f t="shared" si="36"/>
        <v>0.645973435861587</v>
      </c>
      <c r="I330" s="27">
        <f>2861+935</f>
        <v>3796</v>
      </c>
      <c r="J330" s="27">
        <f>3304465.48+1469787.18</f>
        <v>4774252.66</v>
      </c>
      <c r="K330" s="26">
        <f t="shared" si="38"/>
        <v>0.0850574227272728</v>
      </c>
      <c r="L330" s="27">
        <v>1162.93</v>
      </c>
    </row>
    <row r="331" ht="12.75" spans="1:13">
      <c r="A331" s="66">
        <v>46084</v>
      </c>
      <c r="B331" s="27">
        <v>2957</v>
      </c>
      <c r="C331" s="27">
        <v>3370230.42</v>
      </c>
      <c r="D331" s="29">
        <v>1908.03</v>
      </c>
      <c r="E331" s="41">
        <f t="shared" si="33"/>
        <v>0.0826567757346395</v>
      </c>
      <c r="F331" s="23">
        <f t="shared" si="34"/>
        <v>0.120927995184377</v>
      </c>
      <c r="G331" s="23">
        <f t="shared" si="35"/>
        <v>0.0941381415695607</v>
      </c>
      <c r="H331" s="24">
        <f t="shared" si="36"/>
        <v>0.645258708150152</v>
      </c>
      <c r="I331" s="27">
        <f>2957+844</f>
        <v>3801</v>
      </c>
      <c r="J331" s="27">
        <f>3370230.42+1380717.83</f>
        <v>4750948.25</v>
      </c>
      <c r="K331" s="26">
        <f t="shared" si="38"/>
        <v>0.0797609659090909</v>
      </c>
      <c r="L331" s="27">
        <v>1162.94</v>
      </c>
    </row>
    <row r="332" ht="12.75" spans="1:13">
      <c r="A332" s="66">
        <v>46085</v>
      </c>
      <c r="B332" s="27">
        <v>3004</v>
      </c>
      <c r="C332" s="27">
        <v>3396704.14</v>
      </c>
      <c r="D332" s="29">
        <v>1934.58</v>
      </c>
      <c r="E332" s="41">
        <f t="shared" si="33"/>
        <v>0.0831537479740582</v>
      </c>
      <c r="F332" s="23">
        <f t="shared" si="34"/>
        <v>0.121655072378485</v>
      </c>
      <c r="G332" s="23">
        <f t="shared" si="35"/>
        <v>0.0947041452953862</v>
      </c>
      <c r="H332" s="24">
        <f t="shared" si="36"/>
        <v>0.644001331557923</v>
      </c>
      <c r="I332" s="27">
        <f>3004+829</f>
        <v>3833</v>
      </c>
      <c r="J332" s="27">
        <f>3396704.14+1331661.85</f>
        <v>4728365.99</v>
      </c>
      <c r="K332" s="26">
        <f t="shared" si="38"/>
        <v>0.0746286340909091</v>
      </c>
      <c r="L332" s="27">
        <v>1157.62</v>
      </c>
    </row>
    <row r="333" ht="12.75" spans="1:13">
      <c r="A333" s="66">
        <v>46086</v>
      </c>
      <c r="B333" s="27">
        <v>3054</v>
      </c>
      <c r="C333" s="27">
        <v>3433268.24</v>
      </c>
      <c r="D333" s="29">
        <v>1948.59</v>
      </c>
      <c r="E333" s="41">
        <f t="shared" si="33"/>
        <v>0.0828639419097647</v>
      </c>
      <c r="F333" s="23">
        <f t="shared" si="34"/>
        <v>0.121231082136478</v>
      </c>
      <c r="G333" s="23">
        <f t="shared" si="35"/>
        <v>0.0943740839777785</v>
      </c>
      <c r="H333" s="24">
        <f t="shared" si="36"/>
        <v>0.638045186640471</v>
      </c>
      <c r="I333" s="27">
        <f>3054+814</f>
        <v>3868</v>
      </c>
      <c r="J333" s="27">
        <f>3433268.24+1343249.16</f>
        <v>4776517.4</v>
      </c>
      <c r="K333" s="26">
        <f t="shared" si="38"/>
        <v>0.0855721363636364</v>
      </c>
      <c r="L333" s="27">
        <v>1167.88</v>
      </c>
    </row>
    <row r="334" ht="12.75" spans="1:13">
      <c r="A334" s="66">
        <v>46087</v>
      </c>
      <c r="B334" s="27">
        <v>3125</v>
      </c>
      <c r="C334" s="27">
        <v>3497655.4</v>
      </c>
      <c r="D334" s="29">
        <v>2001.42</v>
      </c>
      <c r="E334" s="41">
        <f t="shared" si="33"/>
        <v>0.0835437704926563</v>
      </c>
      <c r="F334" s="23">
        <f t="shared" si="34"/>
        <v>0.122225680665968</v>
      </c>
      <c r="G334" s="23">
        <f t="shared" si="35"/>
        <v>0.0951483435446499</v>
      </c>
      <c r="H334" s="24">
        <f t="shared" si="36"/>
        <v>0.6404544</v>
      </c>
      <c r="I334" s="27">
        <f>3125+739</f>
        <v>3864</v>
      </c>
      <c r="J334" s="27">
        <f>3497655.4+1262964.81+53435.5</f>
        <v>4814055.71</v>
      </c>
      <c r="K334" s="26">
        <f t="shared" si="38"/>
        <v>0.0941035704545454</v>
      </c>
      <c r="L334" s="27">
        <v>1172.92</v>
      </c>
    </row>
    <row r="335" ht="12.75" spans="1:13">
      <c r="A335" s="66">
        <v>46088</v>
      </c>
      <c r="B335" s="27">
        <v>3136</v>
      </c>
      <c r="C335" s="27">
        <v>3531671.67</v>
      </c>
      <c r="D335" s="29">
        <v>2029.69</v>
      </c>
      <c r="E335" s="41">
        <f t="shared" si="33"/>
        <v>0.0839077829678318</v>
      </c>
      <c r="F335" s="23">
        <f t="shared" si="34"/>
        <v>0.122758235903622</v>
      </c>
      <c r="G335" s="23">
        <f t="shared" si="35"/>
        <v>0.095562918848569</v>
      </c>
      <c r="H335" s="24">
        <f t="shared" si="36"/>
        <v>0.647222576530612</v>
      </c>
      <c r="I335" s="27">
        <f>3136+713</f>
        <v>3849</v>
      </c>
      <c r="J335" s="27">
        <f>3531671.67+1240725.56+95890.25</f>
        <v>4868287.48</v>
      </c>
      <c r="K335" s="26">
        <f t="shared" si="38"/>
        <v>0.106428972727273</v>
      </c>
      <c r="L335" s="27">
        <v>1182.65</v>
      </c>
    </row>
    <row r="336" ht="12.75" spans="1:13">
      <c r="A336" s="66">
        <v>46089</v>
      </c>
      <c r="B336" s="27">
        <v>3136</v>
      </c>
      <c r="C336" s="27">
        <v>3506467.04</v>
      </c>
      <c r="D336" s="29">
        <v>2051.27</v>
      </c>
      <c r="E336" s="41">
        <f t="shared" si="33"/>
        <v>0.0854094496208355</v>
      </c>
      <c r="F336" s="23">
        <f t="shared" si="34"/>
        <v>0.124955194787743</v>
      </c>
      <c r="G336" s="23">
        <f t="shared" si="35"/>
        <v>0.0972731731709077</v>
      </c>
      <c r="H336" s="24">
        <f t="shared" si="36"/>
        <v>0.654103954081633</v>
      </c>
      <c r="I336" s="27">
        <f>3136+679</f>
        <v>3815</v>
      </c>
      <c r="J336" s="27">
        <f>1123053.97+3506467.04+161864.38</f>
        <v>4791385.39</v>
      </c>
      <c r="K336" s="26">
        <f t="shared" si="38"/>
        <v>0.0889512249999999</v>
      </c>
      <c r="L336" s="27">
        <v>1179.52</v>
      </c>
    </row>
    <row r="337" ht="12.75" spans="1:12">
      <c r="A337" s="66">
        <v>46090</v>
      </c>
      <c r="B337" s="27">
        <v>3146</v>
      </c>
      <c r="C337" s="27">
        <v>3524714.65</v>
      </c>
      <c r="D337" s="29">
        <v>2087.66</v>
      </c>
      <c r="E337" s="41">
        <f t="shared" si="33"/>
        <v>0.0864746200093105</v>
      </c>
      <c r="F337" s="23">
        <f t="shared" si="34"/>
        <v>0.126513553657457</v>
      </c>
      <c r="G337" s="23">
        <f t="shared" si="35"/>
        <v>0.0984863001037545</v>
      </c>
      <c r="H337" s="24">
        <f t="shared" si="36"/>
        <v>0.663591862682772</v>
      </c>
      <c r="I337" s="27">
        <f>3146+638</f>
        <v>3784</v>
      </c>
      <c r="J337" s="27">
        <f>3524714.65+1075462.56+226304.68</f>
        <v>4826481.89</v>
      </c>
      <c r="K337" s="26">
        <f t="shared" si="38"/>
        <v>0.0969277022727272</v>
      </c>
      <c r="L337" s="27">
        <v>1191.63</v>
      </c>
    </row>
    <row r="338" ht="12.75" spans="1:12">
      <c r="A338" s="66">
        <v>46091</v>
      </c>
      <c r="B338" s="27">
        <v>3133</v>
      </c>
      <c r="C338" s="27">
        <v>3476409.04</v>
      </c>
      <c r="D338" s="29">
        <v>2077.84</v>
      </c>
      <c r="E338" s="41">
        <f t="shared" si="33"/>
        <v>0.0872637933308331</v>
      </c>
      <c r="F338" s="23">
        <f t="shared" si="34"/>
        <v>0.127668125037438</v>
      </c>
      <c r="G338" s="23">
        <f t="shared" si="35"/>
        <v>0.0993850928428146</v>
      </c>
      <c r="H338" s="24">
        <f t="shared" si="36"/>
        <v>0.663210979891478</v>
      </c>
      <c r="I338" s="27">
        <f>3133+650</f>
        <v>3783</v>
      </c>
      <c r="J338" s="27">
        <f>3476409.04+1078918.61+233787</f>
        <v>4789114.65</v>
      </c>
      <c r="K338" s="26">
        <f t="shared" si="38"/>
        <v>0.0884351477272728</v>
      </c>
      <c r="L338" s="27">
        <v>1178.94</v>
      </c>
    </row>
    <row r="339" ht="12.75" spans="1:12">
      <c r="A339" s="66">
        <v>46092</v>
      </c>
      <c r="B339" s="27">
        <v>3130</v>
      </c>
      <c r="C339" s="27">
        <v>3413532.04</v>
      </c>
      <c r="D339" s="29">
        <v>2077.77</v>
      </c>
      <c r="E339" s="41">
        <f t="shared" si="33"/>
        <v>0.0888681917864758</v>
      </c>
      <c r="F339" s="23">
        <f t="shared" si="34"/>
        <v>0.130015381956104</v>
      </c>
      <c r="G339" s="23">
        <f t="shared" si="35"/>
        <v>0.101212348837364</v>
      </c>
      <c r="H339" s="24">
        <f t="shared" si="36"/>
        <v>0.66382428115016</v>
      </c>
      <c r="I339" s="27">
        <f>3130+707</f>
        <v>3837</v>
      </c>
      <c r="J339" s="27">
        <f>3413532.04+1055339.9+258803.32</f>
        <v>4727675.26</v>
      </c>
      <c r="K339" s="26">
        <f t="shared" si="38"/>
        <v>0.0744716499999999</v>
      </c>
      <c r="L339" s="27">
        <v>1161.98</v>
      </c>
    </row>
    <row r="340" ht="12.75" spans="1:12">
      <c r="A340" s="66">
        <v>46093</v>
      </c>
      <c r="B340" s="27">
        <v>3167</v>
      </c>
      <c r="C340" s="27">
        <v>3432570.7</v>
      </c>
      <c r="D340" s="29">
        <v>2113.89</v>
      </c>
      <c r="E340" s="41">
        <f t="shared" si="33"/>
        <v>0.0899116047340263</v>
      </c>
      <c r="F340" s="23">
        <f t="shared" si="34"/>
        <v>0.131541909391699</v>
      </c>
      <c r="G340" s="23">
        <f t="shared" si="35"/>
        <v>0.102400696131328</v>
      </c>
      <c r="H340" s="24">
        <f t="shared" si="36"/>
        <v>0.667473950110515</v>
      </c>
      <c r="I340" s="27">
        <f>3167+707</f>
        <v>3874</v>
      </c>
      <c r="J340" s="27">
        <f>3432570.7+1040252.17+236275.34</f>
        <v>4709098.21</v>
      </c>
      <c r="K340" s="26">
        <f t="shared" si="38"/>
        <v>0.0702495931818182</v>
      </c>
      <c r="L340" s="27">
        <v>1158.01</v>
      </c>
    </row>
    <row r="341" ht="12.75" spans="1:12">
      <c r="A341" s="66">
        <v>46094</v>
      </c>
      <c r="B341" s="27">
        <v>3252</v>
      </c>
      <c r="C341" s="27">
        <v>3594121.82</v>
      </c>
      <c r="D341" s="29">
        <v>2206.77</v>
      </c>
      <c r="E341" s="41">
        <f t="shared" si="33"/>
        <v>0.089643155167178</v>
      </c>
      <c r="F341" s="23">
        <f t="shared" si="34"/>
        <v>0.131149163998008</v>
      </c>
      <c r="G341" s="23">
        <f t="shared" si="35"/>
        <v>0.102094957816427</v>
      </c>
      <c r="H341" s="24">
        <f t="shared" si="36"/>
        <v>0.678588560885609</v>
      </c>
      <c r="I341" s="27">
        <f>3252+621</f>
        <v>3873</v>
      </c>
      <c r="J341" s="27">
        <f>3594121.82+960529.96+236123.9</f>
        <v>4790775.68</v>
      </c>
      <c r="K341" s="26">
        <f t="shared" si="38"/>
        <v>0.0888126545454545</v>
      </c>
      <c r="L341" s="27">
        <v>1161.08</v>
      </c>
    </row>
    <row r="342" ht="12.75" spans="1:12">
      <c r="A342" s="66">
        <v>46095</v>
      </c>
      <c r="B342" s="27">
        <v>3207</v>
      </c>
      <c r="C342" s="27">
        <v>3573749.61</v>
      </c>
      <c r="D342" s="29">
        <v>2241.61</v>
      </c>
      <c r="E342" s="41">
        <f t="shared" si="33"/>
        <v>0.0915775014243373</v>
      </c>
      <c r="F342" s="23">
        <f t="shared" si="34"/>
        <v>0.133979139070126</v>
      </c>
      <c r="G342" s="23">
        <f t="shared" si="35"/>
        <v>0.104297992718074</v>
      </c>
      <c r="H342" s="24">
        <f t="shared" si="36"/>
        <v>0.698974119114437</v>
      </c>
      <c r="I342" s="27">
        <f>3207+666</f>
        <v>3873</v>
      </c>
      <c r="J342" s="27">
        <f>3573749.61+1052700.17+239067.49</f>
        <v>4865517.27</v>
      </c>
      <c r="K342" s="26">
        <f t="shared" si="38"/>
        <v>0.105799379545454</v>
      </c>
      <c r="L342" s="27">
        <v>1175.46</v>
      </c>
    </row>
    <row r="343" ht="12.75" spans="1:12">
      <c r="A343" s="66">
        <v>46096</v>
      </c>
      <c r="B343" s="27">
        <v>3210</v>
      </c>
      <c r="C343" s="27">
        <v>3595358.12</v>
      </c>
      <c r="D343" s="29">
        <v>2284.3</v>
      </c>
      <c r="E343" s="41">
        <f t="shared" si="33"/>
        <v>0.0927606621840497</v>
      </c>
      <c r="F343" s="23">
        <f t="shared" si="34"/>
        <v>0.135710119469267</v>
      </c>
      <c r="G343" s="23">
        <f t="shared" si="35"/>
        <v>0.105645499369615</v>
      </c>
      <c r="H343" s="24">
        <f t="shared" si="36"/>
        <v>0.711619937694704</v>
      </c>
      <c r="I343" s="27">
        <f>3210+667</f>
        <v>3877</v>
      </c>
      <c r="J343" s="27">
        <f>3595358.12+1029602.82+233215.13</f>
        <v>4858176.07</v>
      </c>
      <c r="K343" s="26">
        <f t="shared" si="38"/>
        <v>0.104130925</v>
      </c>
      <c r="L343" s="27">
        <v>1174.13</v>
      </c>
    </row>
    <row r="344" ht="12.75" spans="1:12">
      <c r="A344" s="66">
        <v>46097</v>
      </c>
      <c r="B344" s="27">
        <v>3199</v>
      </c>
      <c r="C344" s="27">
        <v>3618463.47</v>
      </c>
      <c r="D344" s="29">
        <v>2333.92</v>
      </c>
      <c r="E344" s="41">
        <f t="shared" si="33"/>
        <v>0.0941704463303591</v>
      </c>
      <c r="F344" s="23">
        <f t="shared" si="34"/>
        <v>0.137772652987429</v>
      </c>
      <c r="G344" s="23">
        <f t="shared" si="35"/>
        <v>0.10725110832748</v>
      </c>
      <c r="H344" s="24">
        <f t="shared" si="36"/>
        <v>0.729577993122851</v>
      </c>
      <c r="I344" s="27">
        <f>3199+859</f>
        <v>4058</v>
      </c>
      <c r="J344" s="27">
        <f>3618463.47+1154309.82+105415.63</f>
        <v>4878188.92</v>
      </c>
      <c r="K344" s="26">
        <f t="shared" si="38"/>
        <v>0.1086793</v>
      </c>
      <c r="L344" s="27">
        <v>1171.47</v>
      </c>
    </row>
    <row r="345" ht="12.75" spans="1:12">
      <c r="A345" s="66">
        <v>46098</v>
      </c>
      <c r="B345" s="27">
        <v>3213</v>
      </c>
      <c r="C345" s="27">
        <v>3609731.36</v>
      </c>
      <c r="D345" s="29">
        <v>2359.64</v>
      </c>
      <c r="E345" s="41">
        <f t="shared" si="33"/>
        <v>0.0954385259295307</v>
      </c>
      <c r="F345" s="23">
        <f t="shared" si="34"/>
        <v>0.139627870811971</v>
      </c>
      <c r="G345" s="23">
        <f t="shared" si="35"/>
        <v>0.108695329394263</v>
      </c>
      <c r="H345" s="24">
        <f t="shared" si="36"/>
        <v>0.734403983815748</v>
      </c>
      <c r="I345" s="27">
        <f>3213+1000</f>
        <v>4213</v>
      </c>
      <c r="J345" s="27">
        <f>3609731.36+1222043.47+4615.22</f>
        <v>4836390.05</v>
      </c>
      <c r="K345" s="26">
        <f t="shared" si="38"/>
        <v>0.0991795568181818</v>
      </c>
      <c r="L345" s="27">
        <v>1162.07</v>
      </c>
    </row>
    <row r="346" ht="12.75" spans="1:12">
      <c r="A346" s="66">
        <v>46099</v>
      </c>
      <c r="B346" s="27">
        <v>3200</v>
      </c>
      <c r="C346" s="27">
        <v>3569593.96</v>
      </c>
      <c r="D346" s="29">
        <v>2372.46</v>
      </c>
      <c r="E346" s="41">
        <f t="shared" si="33"/>
        <v>0.0970360113451111</v>
      </c>
      <c r="F346" s="23">
        <f t="shared" si="34"/>
        <v>0.141965013858327</v>
      </c>
      <c r="G346" s="23">
        <f t="shared" si="35"/>
        <v>0.110514712099076</v>
      </c>
      <c r="H346" s="24">
        <f t="shared" si="36"/>
        <v>0.74139375</v>
      </c>
      <c r="I346" s="27">
        <f>3200+890+126</f>
        <v>4216</v>
      </c>
      <c r="J346" s="27">
        <f>3569593.96+778963.24+444323.9</f>
        <v>4792881.1</v>
      </c>
      <c r="K346" s="26">
        <f t="shared" si="38"/>
        <v>0.0892911590909092</v>
      </c>
      <c r="L346" s="27">
        <v>1153.3</v>
      </c>
    </row>
    <row r="347" ht="12.75" spans="1:12">
      <c r="A347" s="66">
        <v>46100</v>
      </c>
      <c r="B347" s="27">
        <v>3263</v>
      </c>
      <c r="C347" s="27">
        <v>3577130.3</v>
      </c>
      <c r="D347" s="29">
        <v>2422.59</v>
      </c>
      <c r="E347" s="41">
        <f t="shared" si="33"/>
        <v>0.0988776226574693</v>
      </c>
      <c r="F347" s="23">
        <f t="shared" si="34"/>
        <v>0.144659316435859</v>
      </c>
      <c r="G347" s="23">
        <f t="shared" si="35"/>
        <v>0.112612130790986</v>
      </c>
      <c r="H347" s="24">
        <f t="shared" si="36"/>
        <v>0.742442537542139</v>
      </c>
      <c r="I347" s="27">
        <f>3263+967</f>
        <v>4230</v>
      </c>
      <c r="J347" s="27">
        <f>3577130.3+1173477.09</f>
        <v>4750607.39</v>
      </c>
      <c r="K347" s="26">
        <f t="shared" si="38"/>
        <v>0.0796834977272727</v>
      </c>
      <c r="L347" s="27">
        <v>1141.5</v>
      </c>
    </row>
    <row r="348" ht="12.75" spans="1:12">
      <c r="A348" s="66">
        <v>46101</v>
      </c>
      <c r="B348" s="27">
        <v>3305</v>
      </c>
      <c r="C348" s="27">
        <v>3604776.85</v>
      </c>
      <c r="D348" s="29">
        <v>2446.23</v>
      </c>
      <c r="E348" s="41">
        <f t="shared" si="33"/>
        <v>0.0990767514499545</v>
      </c>
      <c r="F348" s="23">
        <f t="shared" si="34"/>
        <v>0.144950644587057</v>
      </c>
      <c r="G348" s="23">
        <f t="shared" si="35"/>
        <v>0.112838919391085</v>
      </c>
      <c r="H348" s="24">
        <f t="shared" si="36"/>
        <v>0.740160363086233</v>
      </c>
      <c r="I348" s="27">
        <f>3305+938</f>
        <v>4243</v>
      </c>
      <c r="J348" s="27">
        <f>3604776.85+1151201.52+17922.38</f>
        <v>4773900.75</v>
      </c>
      <c r="K348" s="26">
        <f t="shared" si="38"/>
        <v>0.0849774431818182</v>
      </c>
      <c r="L348" s="27">
        <v>1143.95</v>
      </c>
    </row>
    <row r="349" ht="12.75" spans="1:12">
      <c r="A349" s="66">
        <v>46102</v>
      </c>
      <c r="B349" s="27"/>
      <c r="C349" s="27"/>
      <c r="D349" s="29"/>
      <c r="E349" s="41" t="e">
        <f t="shared" si="33"/>
        <v>#DIV/0!</v>
      </c>
      <c r="F349" s="23" t="e">
        <f t="shared" si="34"/>
        <v>#DIV/0!</v>
      </c>
      <c r="G349" s="23" t="e">
        <f t="shared" si="35"/>
        <v>#DIV/0!</v>
      </c>
      <c r="H349" s="24" t="e">
        <f t="shared" si="36"/>
        <v>#DIV/0!</v>
      </c>
      <c r="K349" s="26">
        <f t="shared" si="38"/>
        <v>-1</v>
      </c>
    </row>
    <row r="350" ht="12.75" spans="1:12">
      <c r="A350" s="66">
        <v>46103</v>
      </c>
      <c r="B350" s="27"/>
      <c r="C350" s="27"/>
      <c r="D350" s="29"/>
      <c r="E350" s="41" t="e">
        <f t="shared" si="33"/>
        <v>#DIV/0!</v>
      </c>
      <c r="F350" s="23" t="e">
        <f t="shared" si="34"/>
        <v>#DIV/0!</v>
      </c>
      <c r="G350" s="23" t="e">
        <f t="shared" si="35"/>
        <v>#DIV/0!</v>
      </c>
      <c r="H350" s="24" t="e">
        <f t="shared" si="36"/>
        <v>#DIV/0!</v>
      </c>
      <c r="K350" s="26">
        <f t="shared" si="38"/>
        <v>-1</v>
      </c>
    </row>
    <row r="351" ht="12.75" spans="1:12">
      <c r="A351" s="66">
        <v>46104</v>
      </c>
      <c r="B351" s="27"/>
      <c r="C351" s="27"/>
      <c r="D351" s="29"/>
      <c r="E351" s="41" t="e">
        <f t="shared" si="33"/>
        <v>#DIV/0!</v>
      </c>
      <c r="F351" s="23" t="e">
        <f t="shared" si="34"/>
        <v>#DIV/0!</v>
      </c>
      <c r="G351" s="23" t="e">
        <f t="shared" si="35"/>
        <v>#DIV/0!</v>
      </c>
      <c r="H351" s="24" t="e">
        <f t="shared" si="36"/>
        <v>#DIV/0!</v>
      </c>
      <c r="K351" s="26">
        <f t="shared" si="38"/>
        <v>-1</v>
      </c>
    </row>
    <row r="352" ht="12.75" spans="1:12">
      <c r="A352" s="66">
        <v>46105</v>
      </c>
      <c r="B352" s="27"/>
      <c r="C352" s="27"/>
      <c r="D352" s="29"/>
      <c r="E352" s="41" t="e">
        <f t="shared" si="33"/>
        <v>#DIV/0!</v>
      </c>
      <c r="F352" s="23" t="e">
        <f t="shared" si="34"/>
        <v>#DIV/0!</v>
      </c>
      <c r="G352" s="23" t="e">
        <f t="shared" si="35"/>
        <v>#DIV/0!</v>
      </c>
      <c r="H352" s="24" t="e">
        <f t="shared" si="36"/>
        <v>#DIV/0!</v>
      </c>
      <c r="K352" s="26">
        <f t="shared" si="38"/>
        <v>-1</v>
      </c>
    </row>
    <row r="353" ht="12.75" spans="1:11">
      <c r="A353" s="66">
        <v>46106</v>
      </c>
      <c r="B353" s="27"/>
      <c r="C353" s="27"/>
      <c r="D353" s="29"/>
      <c r="E353" s="41" t="e">
        <f t="shared" si="33"/>
        <v>#DIV/0!</v>
      </c>
      <c r="F353" s="23" t="e">
        <f t="shared" si="34"/>
        <v>#DIV/0!</v>
      </c>
      <c r="G353" s="23" t="e">
        <f t="shared" si="35"/>
        <v>#DIV/0!</v>
      </c>
      <c r="H353" s="24" t="e">
        <f t="shared" si="36"/>
        <v>#DIV/0!</v>
      </c>
      <c r="K353" s="26">
        <f t="shared" si="38"/>
        <v>-1</v>
      </c>
    </row>
    <row r="354" ht="12.75" spans="1:11">
      <c r="A354" s="66">
        <v>46107</v>
      </c>
      <c r="B354" s="27"/>
      <c r="C354" s="27"/>
      <c r="D354" s="29"/>
      <c r="E354" s="41" t="e">
        <f t="shared" ref="E354:E368" si="39">(D354*0.8)*182.5/C354</f>
        <v>#DIV/0!</v>
      </c>
      <c r="F354" s="23" t="e">
        <f t="shared" ref="F354:F368" si="40">(D354*0.8)*267/C354</f>
        <v>#DIV/0!</v>
      </c>
      <c r="G354" s="23" t="e">
        <f t="shared" ref="G354:G368" si="41">E354*0.7+F354*0.3</f>
        <v>#DIV/0!</v>
      </c>
      <c r="H354" s="24" t="e">
        <f t="shared" ref="H354:H368" si="42">D354/B354</f>
        <v>#DIV/0!</v>
      </c>
      <c r="K354" s="26">
        <f t="shared" si="38"/>
        <v>-1</v>
      </c>
    </row>
    <row r="355" ht="12.75" spans="1:11">
      <c r="A355" s="66">
        <v>46108</v>
      </c>
      <c r="B355" s="27"/>
      <c r="C355" s="27"/>
      <c r="D355" s="29"/>
      <c r="E355" s="41" t="e">
        <f t="shared" si="39"/>
        <v>#DIV/0!</v>
      </c>
      <c r="F355" s="23" t="e">
        <f t="shared" si="40"/>
        <v>#DIV/0!</v>
      </c>
      <c r="G355" s="23" t="e">
        <f t="shared" si="41"/>
        <v>#DIV/0!</v>
      </c>
      <c r="H355" s="24" t="e">
        <f t="shared" si="42"/>
        <v>#DIV/0!</v>
      </c>
      <c r="K355" s="26">
        <f t="shared" si="38"/>
        <v>-1</v>
      </c>
    </row>
    <row r="356" ht="12.75" spans="1:11">
      <c r="A356" s="66">
        <v>46109</v>
      </c>
      <c r="B356" s="27"/>
      <c r="C356" s="27"/>
      <c r="D356" s="29"/>
      <c r="E356" s="41" t="e">
        <f t="shared" si="39"/>
        <v>#DIV/0!</v>
      </c>
      <c r="F356" s="23" t="e">
        <f t="shared" si="40"/>
        <v>#DIV/0!</v>
      </c>
      <c r="G356" s="23" t="e">
        <f t="shared" si="41"/>
        <v>#DIV/0!</v>
      </c>
      <c r="H356" s="24" t="e">
        <f t="shared" si="42"/>
        <v>#DIV/0!</v>
      </c>
      <c r="K356" s="26">
        <f t="shared" si="38"/>
        <v>-1</v>
      </c>
    </row>
    <row r="357" ht="12.75" spans="1:11">
      <c r="A357" s="66">
        <v>46110</v>
      </c>
      <c r="B357" s="27"/>
      <c r="C357" s="27"/>
      <c r="D357" s="29"/>
      <c r="E357" s="41" t="e">
        <f t="shared" si="39"/>
        <v>#DIV/0!</v>
      </c>
      <c r="F357" s="23" t="e">
        <f t="shared" si="40"/>
        <v>#DIV/0!</v>
      </c>
      <c r="G357" s="23" t="e">
        <f t="shared" si="41"/>
        <v>#DIV/0!</v>
      </c>
      <c r="H357" s="24" t="e">
        <f t="shared" si="42"/>
        <v>#DIV/0!</v>
      </c>
      <c r="K357" s="26">
        <f t="shared" si="38"/>
        <v>-1</v>
      </c>
    </row>
    <row r="358" ht="12.75" spans="1:11">
      <c r="A358" s="66">
        <v>46111</v>
      </c>
      <c r="B358" s="27"/>
      <c r="C358" s="27"/>
      <c r="D358" s="29"/>
      <c r="E358" s="41" t="e">
        <f t="shared" si="39"/>
        <v>#DIV/0!</v>
      </c>
      <c r="F358" s="23" t="e">
        <f t="shared" si="40"/>
        <v>#DIV/0!</v>
      </c>
      <c r="G358" s="23" t="e">
        <f t="shared" si="41"/>
        <v>#DIV/0!</v>
      </c>
      <c r="H358" s="24" t="e">
        <f t="shared" si="42"/>
        <v>#DIV/0!</v>
      </c>
      <c r="K358" s="26">
        <f t="shared" si="38"/>
        <v>-1</v>
      </c>
    </row>
    <row r="359" ht="12.75" spans="1:11">
      <c r="A359" s="66">
        <v>46112</v>
      </c>
      <c r="B359" s="27"/>
      <c r="C359" s="27"/>
      <c r="D359" s="29"/>
      <c r="E359" s="41" t="e">
        <f t="shared" si="39"/>
        <v>#DIV/0!</v>
      </c>
      <c r="F359" s="23" t="e">
        <f t="shared" si="40"/>
        <v>#DIV/0!</v>
      </c>
      <c r="G359" s="23" t="e">
        <f t="shared" si="41"/>
        <v>#DIV/0!</v>
      </c>
      <c r="H359" s="24" t="e">
        <f t="shared" si="42"/>
        <v>#DIV/0!</v>
      </c>
      <c r="K359" s="26">
        <f t="shared" si="38"/>
        <v>-1</v>
      </c>
    </row>
    <row r="360" ht="12.75" spans="1:11">
      <c r="A360" s="66">
        <v>46113</v>
      </c>
      <c r="B360" s="27"/>
      <c r="C360" s="27"/>
      <c r="D360" s="29"/>
      <c r="E360" s="41" t="e">
        <f t="shared" si="39"/>
        <v>#DIV/0!</v>
      </c>
      <c r="F360" s="23" t="e">
        <f t="shared" si="40"/>
        <v>#DIV/0!</v>
      </c>
      <c r="G360" s="23" t="e">
        <f t="shared" si="41"/>
        <v>#DIV/0!</v>
      </c>
      <c r="H360" s="24" t="e">
        <f t="shared" si="42"/>
        <v>#DIV/0!</v>
      </c>
      <c r="K360" s="26">
        <f t="shared" si="38"/>
        <v>-1</v>
      </c>
    </row>
    <row r="361" ht="12.75" spans="1:11">
      <c r="A361" s="66">
        <v>46114</v>
      </c>
      <c r="B361" s="27"/>
      <c r="C361" s="27"/>
      <c r="D361" s="29"/>
      <c r="E361" s="41" t="e">
        <f t="shared" si="39"/>
        <v>#DIV/0!</v>
      </c>
      <c r="F361" s="23" t="e">
        <f t="shared" si="40"/>
        <v>#DIV/0!</v>
      </c>
      <c r="G361" s="23" t="e">
        <f t="shared" si="41"/>
        <v>#DIV/0!</v>
      </c>
      <c r="H361" s="24" t="e">
        <f t="shared" si="42"/>
        <v>#DIV/0!</v>
      </c>
      <c r="K361" s="26">
        <f t="shared" si="38"/>
        <v>-1</v>
      </c>
    </row>
    <row r="362" ht="12.75" spans="1:11">
      <c r="A362" s="66">
        <v>46115</v>
      </c>
      <c r="B362" s="27"/>
      <c r="C362" s="27"/>
      <c r="D362" s="29"/>
      <c r="E362" s="41" t="e">
        <f t="shared" si="39"/>
        <v>#DIV/0!</v>
      </c>
      <c r="F362" s="23" t="e">
        <f t="shared" si="40"/>
        <v>#DIV/0!</v>
      </c>
      <c r="G362" s="23" t="e">
        <f t="shared" si="41"/>
        <v>#DIV/0!</v>
      </c>
      <c r="H362" s="24" t="e">
        <f t="shared" si="42"/>
        <v>#DIV/0!</v>
      </c>
      <c r="K362" s="26">
        <f t="shared" si="38"/>
        <v>-1</v>
      </c>
    </row>
    <row r="363" ht="12.75" spans="1:11">
      <c r="A363" s="66">
        <v>46116</v>
      </c>
      <c r="B363" s="27"/>
      <c r="C363" s="27"/>
      <c r="D363" s="29"/>
      <c r="E363" s="41" t="e">
        <f t="shared" si="39"/>
        <v>#DIV/0!</v>
      </c>
      <c r="F363" s="23" t="e">
        <f t="shared" si="40"/>
        <v>#DIV/0!</v>
      </c>
      <c r="G363" s="23" t="e">
        <f t="shared" si="41"/>
        <v>#DIV/0!</v>
      </c>
      <c r="H363" s="24" t="e">
        <f t="shared" si="42"/>
        <v>#DIV/0!</v>
      </c>
      <c r="K363" s="26">
        <f t="shared" si="38"/>
        <v>-1</v>
      </c>
    </row>
    <row r="364" ht="12.75" spans="1:11">
      <c r="A364" s="66">
        <v>46117</v>
      </c>
      <c r="B364" s="27"/>
      <c r="C364" s="27"/>
      <c r="D364" s="29"/>
      <c r="E364" s="41" t="e">
        <f t="shared" si="39"/>
        <v>#DIV/0!</v>
      </c>
      <c r="F364" s="23" t="e">
        <f t="shared" si="40"/>
        <v>#DIV/0!</v>
      </c>
      <c r="G364" s="23" t="e">
        <f t="shared" si="41"/>
        <v>#DIV/0!</v>
      </c>
      <c r="H364" s="24" t="e">
        <f t="shared" si="42"/>
        <v>#DIV/0!</v>
      </c>
      <c r="K364" s="26">
        <f t="shared" si="38"/>
        <v>-1</v>
      </c>
    </row>
    <row r="365" ht="12.75" spans="1:11">
      <c r="A365" s="66">
        <v>46118</v>
      </c>
      <c r="B365" s="27"/>
      <c r="C365" s="27"/>
      <c r="D365" s="29"/>
      <c r="E365" s="41" t="e">
        <f t="shared" si="39"/>
        <v>#DIV/0!</v>
      </c>
      <c r="F365" s="23" t="e">
        <f t="shared" si="40"/>
        <v>#DIV/0!</v>
      </c>
      <c r="G365" s="23" t="e">
        <f t="shared" si="41"/>
        <v>#DIV/0!</v>
      </c>
      <c r="H365" s="24" t="e">
        <f t="shared" si="42"/>
        <v>#DIV/0!</v>
      </c>
      <c r="K365" s="26">
        <f t="shared" si="38"/>
        <v>-1</v>
      </c>
    </row>
    <row r="366" ht="12.75" spans="1:11">
      <c r="A366" s="66">
        <v>46119</v>
      </c>
      <c r="B366" s="27"/>
      <c r="C366" s="27"/>
      <c r="D366" s="29"/>
      <c r="E366" s="41" t="e">
        <f t="shared" si="39"/>
        <v>#DIV/0!</v>
      </c>
      <c r="F366" s="23" t="e">
        <f t="shared" si="40"/>
        <v>#DIV/0!</v>
      </c>
      <c r="G366" s="23" t="e">
        <f t="shared" si="41"/>
        <v>#DIV/0!</v>
      </c>
      <c r="H366" s="24" t="e">
        <f t="shared" si="42"/>
        <v>#DIV/0!</v>
      </c>
      <c r="K366" s="26">
        <f t="shared" si="38"/>
        <v>-1</v>
      </c>
    </row>
    <row r="367" ht="12.75" spans="1:11">
      <c r="A367" s="66">
        <v>46120</v>
      </c>
      <c r="B367" s="27"/>
      <c r="C367" s="27"/>
      <c r="D367" s="29"/>
      <c r="E367" s="41" t="e">
        <f t="shared" si="39"/>
        <v>#DIV/0!</v>
      </c>
      <c r="F367" s="23" t="e">
        <f t="shared" si="40"/>
        <v>#DIV/0!</v>
      </c>
      <c r="G367" s="23" t="e">
        <f t="shared" si="41"/>
        <v>#DIV/0!</v>
      </c>
      <c r="H367" s="24" t="e">
        <f t="shared" si="42"/>
        <v>#DIV/0!</v>
      </c>
      <c r="K367" s="26">
        <f t="shared" si="38"/>
        <v>-1</v>
      </c>
    </row>
    <row r="368" ht="12.75" spans="1:11">
      <c r="A368" s="66">
        <v>46121</v>
      </c>
      <c r="B368" s="27"/>
      <c r="C368" s="27"/>
      <c r="D368" s="29"/>
      <c r="E368" s="41" t="e">
        <f t="shared" si="39"/>
        <v>#DIV/0!</v>
      </c>
      <c r="F368" s="23" t="e">
        <f t="shared" si="40"/>
        <v>#DIV/0!</v>
      </c>
      <c r="G368" s="23" t="e">
        <f t="shared" si="41"/>
        <v>#DIV/0!</v>
      </c>
      <c r="H368" s="24" t="e">
        <f t="shared" si="42"/>
        <v>#DIV/0!</v>
      </c>
      <c r="K368" s="26">
        <f t="shared" si="38"/>
        <v>-1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YH4-6月">
    <tabColor rgb="FFFFC9C7"/>
  </sheetPr>
  <dimension ref="A1:V194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14" defaultRowHeight="18" customHeight="1"/>
  <cols>
    <col min="1" max="1" width="12.952380952381" customWidth="1"/>
    <col min="4" max="4" width="12.8095238095238" customWidth="1"/>
  </cols>
  <sheetData>
    <row r="1" ht="12.75" spans="1:22">
      <c r="A1" s="16" t="s">
        <v>35</v>
      </c>
      <c r="B1" s="16" t="s">
        <v>36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7" t="s">
        <v>37</v>
      </c>
      <c r="J1" s="17" t="s">
        <v>38</v>
      </c>
      <c r="K1" s="32" t="s">
        <v>10</v>
      </c>
      <c r="L1" s="18" t="s">
        <v>39</v>
      </c>
      <c r="M1" s="18" t="s">
        <v>37</v>
      </c>
      <c r="N1" t="s">
        <v>11</v>
      </c>
      <c r="P1" s="16" t="s">
        <v>12</v>
      </c>
      <c r="Q1" s="16" t="s">
        <v>13</v>
      </c>
      <c r="R1" s="16" t="s">
        <v>14</v>
      </c>
      <c r="S1" s="16" t="s">
        <v>15</v>
      </c>
      <c r="T1" s="16" t="s">
        <v>16</v>
      </c>
      <c r="U1" s="16" t="s">
        <v>18</v>
      </c>
      <c r="V1" s="16" t="s">
        <v>19</v>
      </c>
    </row>
    <row r="2" ht="12.75" spans="1:22">
      <c r="A2" s="33">
        <v>45384</v>
      </c>
      <c r="B2" s="27">
        <v>1395</v>
      </c>
      <c r="C2" s="27">
        <v>453280.68</v>
      </c>
      <c r="D2" s="22">
        <v>952.04</v>
      </c>
      <c r="E2" s="34">
        <f t="shared" ref="E2:E65" si="0">(D2*0.8)*182.5/C2</f>
        <v>0.306648498674155</v>
      </c>
      <c r="F2" s="34">
        <f t="shared" ref="F2:F65" si="1">(D2*0.8)*267/C2</f>
        <v>0.448630954224654</v>
      </c>
      <c r="G2" s="23">
        <f>E2*0.7+F2*0.3</f>
        <v>0.349243235339305</v>
      </c>
      <c r="H2" s="24">
        <f t="shared" ref="H2:H65" si="2">D2/B2</f>
        <v>0.682465949820788</v>
      </c>
      <c r="I2" s="25"/>
      <c r="J2" s="25"/>
      <c r="N2" s="27"/>
      <c r="O2" s="27"/>
      <c r="P2" s="27" t="s">
        <v>40</v>
      </c>
      <c r="Q2">
        <v>2460.74</v>
      </c>
      <c r="S2">
        <f t="shared" ref="S2:S11" si="3">Q2*4</f>
        <v>9842.96</v>
      </c>
      <c r="U2" s="3">
        <f>(S2*12)/400000</f>
        <v>0.2952888</v>
      </c>
      <c r="V2" s="28" t="s">
        <v>41</v>
      </c>
    </row>
    <row r="3" ht="12.75" spans="1:22">
      <c r="A3" s="21">
        <v>45385</v>
      </c>
      <c r="B3" s="27">
        <v>1438</v>
      </c>
      <c r="C3" s="27">
        <v>503857.64</v>
      </c>
      <c r="D3" s="22">
        <v>1006.97</v>
      </c>
      <c r="E3" s="34">
        <f t="shared" si="0"/>
        <v>0.291784044397937</v>
      </c>
      <c r="F3" s="34">
        <f t="shared" si="1"/>
        <v>0.426884053995887</v>
      </c>
      <c r="G3" s="23">
        <f t="shared" ref="G3:G66" si="4">E3*0.8+F3*0.2</f>
        <v>0.318804046317527</v>
      </c>
      <c r="H3" s="24">
        <f t="shared" si="2"/>
        <v>0.700257301808067</v>
      </c>
      <c r="I3" s="25"/>
      <c r="J3" s="25"/>
      <c r="N3" s="27"/>
      <c r="O3" s="27"/>
      <c r="P3" s="27" t="s">
        <v>42</v>
      </c>
      <c r="Q3">
        <v>5981.57</v>
      </c>
      <c r="R3">
        <v>33073.96</v>
      </c>
      <c r="S3">
        <f t="shared" si="3"/>
        <v>23926.28</v>
      </c>
      <c r="T3">
        <f>R3-Q3-R14</f>
        <v>27092.39</v>
      </c>
      <c r="U3" s="3">
        <f>((S3*12)*0.99)/950000</f>
        <v>0.299204427789474</v>
      </c>
      <c r="V3" s="28">
        <f>((R3-Q3)*12*0.99)/950000</f>
        <v>0.338797466526316</v>
      </c>
    </row>
    <row r="4" ht="12.75" spans="1:22">
      <c r="A4" s="21">
        <v>45386</v>
      </c>
      <c r="B4" s="27">
        <v>1539</v>
      </c>
      <c r="C4" s="27">
        <v>554913.79</v>
      </c>
      <c r="D4" s="22">
        <v>1103.34</v>
      </c>
      <c r="E4" s="34">
        <f t="shared" si="0"/>
        <v>0.290293092193654</v>
      </c>
      <c r="F4" s="34">
        <f t="shared" si="1"/>
        <v>0.424702770497017</v>
      </c>
      <c r="G4" s="23">
        <f t="shared" si="4"/>
        <v>0.317175027854327</v>
      </c>
      <c r="H4" s="24">
        <f t="shared" si="2"/>
        <v>0.71692007797271</v>
      </c>
      <c r="I4" s="25"/>
      <c r="J4" s="25"/>
      <c r="N4" s="27"/>
      <c r="O4" s="27"/>
      <c r="P4" s="27" t="s">
        <v>43</v>
      </c>
      <c r="Q4">
        <v>5586.51</v>
      </c>
      <c r="R4">
        <v>30398.86</v>
      </c>
      <c r="S4">
        <f t="shared" si="3"/>
        <v>22346.04</v>
      </c>
      <c r="T4">
        <f t="shared" ref="T4:T11" si="5">R4-Q4-S4</f>
        <v>2466.31</v>
      </c>
      <c r="U4" s="3">
        <f>(S4*12)/1000000</f>
        <v>0.26815248</v>
      </c>
      <c r="V4" s="28">
        <f>((R4-Q4)*12*0.99)/1000000</f>
        <v>0.294770718</v>
      </c>
    </row>
    <row r="5" ht="12.75" spans="1:22">
      <c r="A5" s="21">
        <v>45387</v>
      </c>
      <c r="B5" s="27">
        <v>1850</v>
      </c>
      <c r="C5" s="27">
        <v>647989.18</v>
      </c>
      <c r="D5" s="22">
        <v>1290.44</v>
      </c>
      <c r="E5" s="34">
        <f t="shared" si="0"/>
        <v>0.290752138793429</v>
      </c>
      <c r="F5" s="34">
        <f t="shared" si="1"/>
        <v>0.425374361960797</v>
      </c>
      <c r="G5" s="23">
        <f t="shared" si="4"/>
        <v>0.317676583426902</v>
      </c>
      <c r="H5" s="24">
        <f t="shared" si="2"/>
        <v>0.697535135135135</v>
      </c>
      <c r="I5" s="25"/>
      <c r="J5" s="25"/>
      <c r="L5" s="27"/>
      <c r="M5" s="27"/>
      <c r="N5" s="27"/>
      <c r="O5" s="27"/>
      <c r="P5" s="27" t="s">
        <v>44</v>
      </c>
      <c r="Q5">
        <v>5482.41</v>
      </c>
      <c r="R5">
        <v>29383.02</v>
      </c>
      <c r="S5">
        <f t="shared" si="3"/>
        <v>21929.64</v>
      </c>
      <c r="T5">
        <f t="shared" si="5"/>
        <v>1970.97</v>
      </c>
      <c r="U5" s="3">
        <f t="shared" ref="U5:U18" si="6">(S5*12)/1200000</f>
        <v>0.2192964</v>
      </c>
      <c r="V5" s="28">
        <f t="shared" ref="V5:V18" si="7">((R5-Q5)*12*0.99)/1200000</f>
        <v>0.236616039</v>
      </c>
    </row>
    <row r="6" ht="12.75" spans="1:22">
      <c r="A6" s="33">
        <v>45389</v>
      </c>
      <c r="B6" s="27">
        <v>1844</v>
      </c>
      <c r="C6" s="27">
        <v>632562.77</v>
      </c>
      <c r="D6" s="22">
        <v>1234.83</v>
      </c>
      <c r="E6" s="34">
        <f t="shared" si="0"/>
        <v>0.285007573240518</v>
      </c>
      <c r="F6" s="34">
        <f t="shared" si="1"/>
        <v>0.41696998386421</v>
      </c>
      <c r="G6" s="23">
        <f t="shared" si="4"/>
        <v>0.311400055365257</v>
      </c>
      <c r="H6" s="24">
        <f t="shared" si="2"/>
        <v>0.669647505422993</v>
      </c>
      <c r="I6" s="25"/>
      <c r="J6" s="25"/>
      <c r="L6" s="27"/>
      <c r="M6" s="27"/>
      <c r="N6" s="27"/>
      <c r="O6" s="27"/>
      <c r="P6" s="27" t="s">
        <v>45</v>
      </c>
      <c r="S6">
        <f t="shared" si="3"/>
        <v>0</v>
      </c>
      <c r="T6">
        <f t="shared" si="5"/>
        <v>0</v>
      </c>
      <c r="U6" s="3">
        <f t="shared" si="6"/>
        <v>0</v>
      </c>
      <c r="V6" s="28">
        <f t="shared" si="7"/>
        <v>0</v>
      </c>
    </row>
    <row r="7" ht="12.75" spans="1:22">
      <c r="A7" s="33">
        <v>45390</v>
      </c>
      <c r="B7" s="27">
        <v>1731</v>
      </c>
      <c r="C7" s="27">
        <v>610604.18</v>
      </c>
      <c r="D7" s="22">
        <v>1162.51</v>
      </c>
      <c r="E7" s="34">
        <f t="shared" si="0"/>
        <v>0.277964785632486</v>
      </c>
      <c r="F7" s="34">
        <f t="shared" si="1"/>
        <v>0.406666289117117</v>
      </c>
      <c r="G7" s="23">
        <f t="shared" si="4"/>
        <v>0.303705086329412</v>
      </c>
      <c r="H7" s="24">
        <f t="shared" si="2"/>
        <v>0.67158290005777</v>
      </c>
      <c r="I7" s="25"/>
      <c r="J7" s="25"/>
      <c r="L7" s="27"/>
      <c r="M7" s="27"/>
      <c r="N7" s="27"/>
      <c r="O7" s="27"/>
      <c r="P7" s="27" t="s">
        <v>28</v>
      </c>
      <c r="S7">
        <f t="shared" si="3"/>
        <v>0</v>
      </c>
      <c r="T7">
        <f t="shared" si="5"/>
        <v>0</v>
      </c>
      <c r="U7" s="3">
        <f t="shared" si="6"/>
        <v>0</v>
      </c>
      <c r="V7" s="28">
        <f t="shared" si="7"/>
        <v>0</v>
      </c>
    </row>
    <row r="8" ht="12.75" spans="1:22">
      <c r="A8" s="33">
        <v>45391</v>
      </c>
      <c r="B8" s="27">
        <v>1877</v>
      </c>
      <c r="C8" s="27">
        <v>683848.96</v>
      </c>
      <c r="D8" s="22">
        <v>1266.81</v>
      </c>
      <c r="E8" s="34">
        <f t="shared" si="0"/>
        <v>0.270460687693376</v>
      </c>
      <c r="F8" s="34">
        <f t="shared" si="1"/>
        <v>0.395687691036336</v>
      </c>
      <c r="G8" s="23">
        <f t="shared" si="4"/>
        <v>0.295506088361968</v>
      </c>
      <c r="H8" s="24">
        <f t="shared" si="2"/>
        <v>0.674912093766649</v>
      </c>
      <c r="I8" s="25"/>
      <c r="J8" s="25"/>
      <c r="L8" s="27"/>
      <c r="M8" s="27"/>
      <c r="N8" s="27"/>
      <c r="O8" s="27"/>
      <c r="P8" s="27" t="s">
        <v>29</v>
      </c>
      <c r="S8">
        <f t="shared" si="3"/>
        <v>0</v>
      </c>
      <c r="T8">
        <f t="shared" si="5"/>
        <v>0</v>
      </c>
      <c r="U8" s="3">
        <f t="shared" si="6"/>
        <v>0</v>
      </c>
      <c r="V8" s="28">
        <f t="shared" si="7"/>
        <v>0</v>
      </c>
    </row>
    <row r="9" ht="12.75" spans="1:22">
      <c r="A9" s="21">
        <v>45393</v>
      </c>
      <c r="B9" s="27">
        <v>1910</v>
      </c>
      <c r="C9" s="27">
        <v>670570.01</v>
      </c>
      <c r="D9" s="22">
        <v>1250.37</v>
      </c>
      <c r="E9" s="34">
        <f t="shared" si="0"/>
        <v>0.272237077825774</v>
      </c>
      <c r="F9" s="34">
        <f t="shared" si="1"/>
        <v>0.398286574134146</v>
      </c>
      <c r="G9" s="23">
        <f t="shared" si="4"/>
        <v>0.297446977087448</v>
      </c>
      <c r="H9" s="24">
        <f t="shared" si="2"/>
        <v>0.654643979057592</v>
      </c>
      <c r="I9" s="25"/>
      <c r="J9" s="25"/>
      <c r="L9" s="27"/>
      <c r="M9" s="27"/>
      <c r="N9" s="27"/>
      <c r="O9" s="27"/>
      <c r="P9" s="27" t="s">
        <v>30</v>
      </c>
      <c r="S9">
        <f t="shared" si="3"/>
        <v>0</v>
      </c>
      <c r="T9">
        <f t="shared" si="5"/>
        <v>0</v>
      </c>
      <c r="U9" s="3">
        <f t="shared" si="6"/>
        <v>0</v>
      </c>
      <c r="V9" s="28">
        <f t="shared" si="7"/>
        <v>0</v>
      </c>
    </row>
    <row r="10" ht="12.75" spans="1:22">
      <c r="A10" s="33">
        <v>45396</v>
      </c>
      <c r="B10" s="27">
        <v>1489</v>
      </c>
      <c r="C10" s="27">
        <v>517470.49</v>
      </c>
      <c r="D10" s="22">
        <v>972.23</v>
      </c>
      <c r="E10" s="34">
        <f t="shared" si="0"/>
        <v>0.274306617948397</v>
      </c>
      <c r="F10" s="34">
        <f t="shared" si="1"/>
        <v>0.401314339683409</v>
      </c>
      <c r="G10" s="23">
        <f t="shared" si="4"/>
        <v>0.2997081622954</v>
      </c>
      <c r="H10" s="24">
        <f t="shared" si="2"/>
        <v>0.652941571524513</v>
      </c>
      <c r="I10" s="25"/>
      <c r="J10" s="25"/>
      <c r="L10" s="27"/>
      <c r="M10" s="27"/>
      <c r="N10" s="27"/>
      <c r="O10" s="27"/>
      <c r="P10" s="27" t="s">
        <v>32</v>
      </c>
      <c r="S10">
        <f t="shared" si="3"/>
        <v>0</v>
      </c>
      <c r="T10">
        <f t="shared" si="5"/>
        <v>0</v>
      </c>
      <c r="U10" s="3">
        <f t="shared" si="6"/>
        <v>0</v>
      </c>
      <c r="V10" s="28">
        <f t="shared" si="7"/>
        <v>0</v>
      </c>
    </row>
    <row r="11" ht="12.75" spans="1:22">
      <c r="A11" s="21">
        <v>45398</v>
      </c>
      <c r="B11" s="27">
        <v>1528</v>
      </c>
      <c r="C11" s="27">
        <v>537291.03</v>
      </c>
      <c r="D11" s="22">
        <v>1032.58</v>
      </c>
      <c r="E11" s="34">
        <f t="shared" si="0"/>
        <v>0.280586631047982</v>
      </c>
      <c r="F11" s="34">
        <f t="shared" si="1"/>
        <v>0.410502084875677</v>
      </c>
      <c r="G11" s="23">
        <f t="shared" si="4"/>
        <v>0.306569721813521</v>
      </c>
      <c r="H11" s="24">
        <f t="shared" si="2"/>
        <v>0.675772251308901</v>
      </c>
      <c r="I11" s="25"/>
      <c r="J11" s="25"/>
      <c r="L11" s="27"/>
      <c r="M11" s="27"/>
      <c r="N11" s="27"/>
      <c r="O11" s="27"/>
      <c r="P11" s="27" t="s">
        <v>33</v>
      </c>
      <c r="S11">
        <f t="shared" si="3"/>
        <v>0</v>
      </c>
      <c r="T11">
        <f t="shared" si="5"/>
        <v>0</v>
      </c>
      <c r="U11" s="3">
        <f t="shared" si="6"/>
        <v>0</v>
      </c>
      <c r="V11" s="28">
        <f t="shared" si="7"/>
        <v>0</v>
      </c>
    </row>
    <row r="12" ht="12.75" spans="1:22">
      <c r="A12" s="33">
        <v>45399</v>
      </c>
      <c r="B12" s="27">
        <v>1624</v>
      </c>
      <c r="C12" s="27">
        <v>549034.03</v>
      </c>
      <c r="D12" s="22">
        <v>1096.99</v>
      </c>
      <c r="E12" s="34">
        <f t="shared" si="0"/>
        <v>0.291713320575047</v>
      </c>
      <c r="F12" s="34">
        <f t="shared" si="1"/>
        <v>0.426780584074178</v>
      </c>
      <c r="G12" s="23">
        <f t="shared" si="4"/>
        <v>0.318726773274873</v>
      </c>
      <c r="H12" s="24">
        <f t="shared" si="2"/>
        <v>0.67548645320197</v>
      </c>
      <c r="I12" s="25"/>
      <c r="J12" s="25"/>
      <c r="U12" s="3">
        <f t="shared" si="6"/>
        <v>0</v>
      </c>
      <c r="V12" s="28">
        <f t="shared" si="7"/>
        <v>0</v>
      </c>
    </row>
    <row r="13" ht="12.75" spans="1:22">
      <c r="A13" s="21">
        <v>45401</v>
      </c>
      <c r="B13" s="27">
        <v>1514</v>
      </c>
      <c r="C13" s="27">
        <v>538235.85</v>
      </c>
      <c r="D13" s="22">
        <v>1071.92</v>
      </c>
      <c r="E13" s="34">
        <f t="shared" si="0"/>
        <v>0.290765321559313</v>
      </c>
      <c r="F13" s="34">
        <f t="shared" si="1"/>
        <v>0.425393648527871</v>
      </c>
      <c r="G13" s="23">
        <f t="shared" si="4"/>
        <v>0.317690986953024</v>
      </c>
      <c r="H13" s="24">
        <f t="shared" si="2"/>
        <v>0.708005284015852</v>
      </c>
      <c r="I13" s="25"/>
      <c r="J13" s="25"/>
      <c r="U13" s="3">
        <f t="shared" si="6"/>
        <v>0</v>
      </c>
      <c r="V13" s="28">
        <f t="shared" si="7"/>
        <v>0</v>
      </c>
    </row>
    <row r="14" ht="12.75" spans="1:22">
      <c r="A14" s="33">
        <v>45403</v>
      </c>
      <c r="B14" s="27">
        <v>1757</v>
      </c>
      <c r="C14" s="27">
        <v>623808.18</v>
      </c>
      <c r="D14" s="22">
        <v>1209.2</v>
      </c>
      <c r="E14" s="34">
        <f t="shared" si="0"/>
        <v>0.283008792863216</v>
      </c>
      <c r="F14" s="34">
        <f t="shared" si="1"/>
        <v>0.414045740791665</v>
      </c>
      <c r="G14" s="23">
        <f t="shared" si="4"/>
        <v>0.309216182448906</v>
      </c>
      <c r="H14" s="24">
        <f t="shared" si="2"/>
        <v>0.688218554354013</v>
      </c>
      <c r="I14" s="25"/>
      <c r="J14" s="25"/>
      <c r="U14" s="3">
        <f t="shared" si="6"/>
        <v>0</v>
      </c>
      <c r="V14" s="28">
        <f t="shared" si="7"/>
        <v>0</v>
      </c>
    </row>
    <row r="15" ht="12.75" spans="1:22">
      <c r="A15" s="21">
        <v>45405</v>
      </c>
      <c r="B15" s="27">
        <v>1959</v>
      </c>
      <c r="C15" s="27">
        <v>685191.46</v>
      </c>
      <c r="D15" s="22">
        <v>1331.1</v>
      </c>
      <c r="E15" s="34">
        <f t="shared" si="0"/>
        <v>0.283629629592873</v>
      </c>
      <c r="F15" s="34">
        <f t="shared" si="1"/>
        <v>0.414954033431765</v>
      </c>
      <c r="G15" s="23">
        <f t="shared" si="4"/>
        <v>0.309894510360652</v>
      </c>
      <c r="H15" s="24">
        <f t="shared" si="2"/>
        <v>0.67947932618683</v>
      </c>
      <c r="I15" s="25"/>
      <c r="J15" s="25"/>
      <c r="U15" s="3">
        <f t="shared" si="6"/>
        <v>0</v>
      </c>
      <c r="V15" s="28">
        <f t="shared" si="7"/>
        <v>0</v>
      </c>
    </row>
    <row r="16" ht="12.75" spans="1:22">
      <c r="A16" s="33">
        <v>45407</v>
      </c>
      <c r="B16" s="27">
        <v>1815</v>
      </c>
      <c r="C16" s="27">
        <v>650602.08</v>
      </c>
      <c r="D16" s="22">
        <v>1213.36</v>
      </c>
      <c r="E16" s="34">
        <f t="shared" si="0"/>
        <v>0.272287109810654</v>
      </c>
      <c r="F16" s="34">
        <f t="shared" si="1"/>
        <v>0.398359771613395</v>
      </c>
      <c r="G16" s="23">
        <f t="shared" si="4"/>
        <v>0.297501642171202</v>
      </c>
      <c r="H16" s="24">
        <f t="shared" si="2"/>
        <v>0.668517906336088</v>
      </c>
      <c r="I16" s="25"/>
      <c r="J16" s="25"/>
      <c r="U16" s="3">
        <f t="shared" si="6"/>
        <v>0</v>
      </c>
      <c r="V16" s="28">
        <f t="shared" si="7"/>
        <v>0</v>
      </c>
    </row>
    <row r="17" ht="12.75" spans="1:22">
      <c r="A17" s="21">
        <v>45412</v>
      </c>
      <c r="B17" s="27">
        <v>1426</v>
      </c>
      <c r="C17" s="27">
        <v>498921.36</v>
      </c>
      <c r="D17" s="22">
        <v>910.62</v>
      </c>
      <c r="E17" s="34">
        <f t="shared" si="0"/>
        <v>0.266475903136318</v>
      </c>
      <c r="F17" s="34">
        <f t="shared" si="1"/>
        <v>0.389857896643271</v>
      </c>
      <c r="G17" s="23">
        <f t="shared" si="4"/>
        <v>0.291152301837709</v>
      </c>
      <c r="H17" s="24">
        <f t="shared" si="2"/>
        <v>0.638583450210379</v>
      </c>
      <c r="I17" s="25"/>
      <c r="J17" s="25"/>
      <c r="U17" s="3">
        <f t="shared" si="6"/>
        <v>0</v>
      </c>
      <c r="V17" s="28">
        <f t="shared" si="7"/>
        <v>0</v>
      </c>
    </row>
    <row r="18" ht="12.75" spans="1:22">
      <c r="A18" s="33">
        <v>45413</v>
      </c>
      <c r="B18" s="27"/>
      <c r="C18" s="27"/>
      <c r="D18" s="22"/>
      <c r="E18" s="34" t="e">
        <f t="shared" si="0"/>
        <v>#DIV/0!</v>
      </c>
      <c r="F18" s="34" t="e">
        <f t="shared" si="1"/>
        <v>#DIV/0!</v>
      </c>
      <c r="G18" s="23" t="e">
        <f t="shared" si="4"/>
        <v>#DIV/0!</v>
      </c>
      <c r="H18" s="24" t="e">
        <f t="shared" si="2"/>
        <v>#DIV/0!</v>
      </c>
      <c r="I18" s="25"/>
      <c r="J18" s="25"/>
      <c r="U18" s="3">
        <f t="shared" si="6"/>
        <v>0</v>
      </c>
      <c r="V18" s="28">
        <f t="shared" si="7"/>
        <v>0</v>
      </c>
    </row>
    <row r="19" ht="12.75" spans="1:22">
      <c r="A19" s="21">
        <v>45414</v>
      </c>
      <c r="B19" s="27"/>
      <c r="C19" s="27"/>
      <c r="D19" s="22"/>
      <c r="E19" s="34" t="e">
        <f t="shared" si="0"/>
        <v>#DIV/0!</v>
      </c>
      <c r="F19" s="34" t="e">
        <f t="shared" si="1"/>
        <v>#DIV/0!</v>
      </c>
      <c r="G19" s="23" t="e">
        <f t="shared" si="4"/>
        <v>#DIV/0!</v>
      </c>
      <c r="H19" s="24" t="e">
        <f t="shared" si="2"/>
        <v>#DIV/0!</v>
      </c>
      <c r="I19" s="25"/>
      <c r="J19" s="25"/>
    </row>
    <row r="20" ht="12.75" spans="1:22">
      <c r="A20" s="33">
        <v>45415</v>
      </c>
      <c r="D20" s="22"/>
      <c r="E20" s="34" t="e">
        <f t="shared" si="0"/>
        <v>#DIV/0!</v>
      </c>
      <c r="F20" s="34" t="e">
        <f t="shared" si="1"/>
        <v>#DIV/0!</v>
      </c>
      <c r="G20" s="23" t="e">
        <f t="shared" si="4"/>
        <v>#DIV/0!</v>
      </c>
      <c r="H20" s="24" t="e">
        <f t="shared" si="2"/>
        <v>#DIV/0!</v>
      </c>
      <c r="I20" s="25"/>
      <c r="J20" s="25"/>
    </row>
    <row r="21" ht="12.75" spans="1:22">
      <c r="A21" s="33">
        <v>45416</v>
      </c>
      <c r="B21">
        <v>1490</v>
      </c>
      <c r="C21">
        <v>514309.37</v>
      </c>
      <c r="D21" s="22">
        <v>902.74</v>
      </c>
      <c r="E21" s="34">
        <f t="shared" si="0"/>
        <v>0.256266068028276</v>
      </c>
      <c r="F21" s="34">
        <f t="shared" si="1"/>
        <v>0.374920768019451</v>
      </c>
      <c r="G21" s="23">
        <f t="shared" si="4"/>
        <v>0.279997008026511</v>
      </c>
      <c r="H21" s="24">
        <f t="shared" si="2"/>
        <v>0.605865771812081</v>
      </c>
      <c r="I21" s="25"/>
      <c r="J21" s="25"/>
    </row>
    <row r="22" ht="12.75" spans="1:22">
      <c r="A22" s="21">
        <v>45417</v>
      </c>
      <c r="B22">
        <v>1531</v>
      </c>
      <c r="C22">
        <v>546328.77</v>
      </c>
      <c r="D22" s="22">
        <v>927.92</v>
      </c>
      <c r="E22" s="34">
        <f t="shared" si="0"/>
        <v>0.247975811341585</v>
      </c>
      <c r="F22" s="34">
        <f t="shared" si="1"/>
        <v>0.362792008921661</v>
      </c>
      <c r="G22" s="23">
        <f t="shared" si="4"/>
        <v>0.2709390508576</v>
      </c>
      <c r="H22" s="24">
        <f t="shared" si="2"/>
        <v>0.606087524493795</v>
      </c>
      <c r="I22" s="25"/>
      <c r="J22" s="25"/>
    </row>
    <row r="23" ht="12.75" spans="1:22">
      <c r="A23" s="33">
        <v>45418</v>
      </c>
      <c r="B23">
        <v>1606</v>
      </c>
      <c r="C23">
        <v>585122.82</v>
      </c>
      <c r="D23" s="22">
        <v>988.51</v>
      </c>
      <c r="E23" s="34">
        <f t="shared" si="0"/>
        <v>0.246653275290135</v>
      </c>
      <c r="F23" s="34">
        <f t="shared" si="1"/>
        <v>0.360857120561458</v>
      </c>
      <c r="G23" s="23">
        <f t="shared" si="4"/>
        <v>0.269494044344399</v>
      </c>
      <c r="H23" s="24">
        <f t="shared" si="2"/>
        <v>0.615510585305106</v>
      </c>
      <c r="I23" s="25"/>
      <c r="J23" s="25"/>
    </row>
    <row r="24" ht="12.75" spans="1:22">
      <c r="A24" s="33">
        <v>45419</v>
      </c>
      <c r="D24" s="22"/>
      <c r="E24" s="34" t="e">
        <f t="shared" si="0"/>
        <v>#DIV/0!</v>
      </c>
      <c r="F24" s="34" t="e">
        <f t="shared" si="1"/>
        <v>#DIV/0!</v>
      </c>
      <c r="G24" s="23" t="e">
        <f t="shared" si="4"/>
        <v>#DIV/0!</v>
      </c>
      <c r="H24" s="24" t="e">
        <f t="shared" si="2"/>
        <v>#DIV/0!</v>
      </c>
      <c r="I24" s="25"/>
      <c r="J24" s="25"/>
    </row>
    <row r="25" ht="12.75" spans="1:22">
      <c r="A25" s="21">
        <v>45420</v>
      </c>
      <c r="D25" s="22"/>
      <c r="E25" s="34" t="e">
        <f t="shared" si="0"/>
        <v>#DIV/0!</v>
      </c>
      <c r="F25" s="34" t="e">
        <f t="shared" si="1"/>
        <v>#DIV/0!</v>
      </c>
      <c r="G25" s="23" t="e">
        <f t="shared" si="4"/>
        <v>#DIV/0!</v>
      </c>
      <c r="H25" s="35" t="e">
        <f t="shared" si="2"/>
        <v>#DIV/0!</v>
      </c>
      <c r="I25" s="25"/>
      <c r="J25" s="25"/>
    </row>
    <row r="26" ht="12.75" spans="1:22">
      <c r="A26" s="33">
        <v>45421</v>
      </c>
      <c r="B26">
        <v>1795</v>
      </c>
      <c r="C26">
        <v>614729.9</v>
      </c>
      <c r="D26" s="22">
        <v>1012.38</v>
      </c>
      <c r="E26" s="34">
        <f t="shared" si="0"/>
        <v>0.240442965276295</v>
      </c>
      <c r="F26" s="34">
        <f t="shared" si="1"/>
        <v>0.351771351938469</v>
      </c>
      <c r="G26" s="23">
        <f t="shared" si="4"/>
        <v>0.26270864260873</v>
      </c>
      <c r="H26" s="24">
        <f t="shared" si="2"/>
        <v>0.564</v>
      </c>
      <c r="I26" s="25"/>
      <c r="J26" s="25"/>
    </row>
    <row r="27" ht="12.75" spans="1:22">
      <c r="A27" s="33">
        <v>45422</v>
      </c>
      <c r="D27" s="22"/>
      <c r="E27" s="34" t="e">
        <f t="shared" si="0"/>
        <v>#DIV/0!</v>
      </c>
      <c r="F27" s="34" t="e">
        <f t="shared" si="1"/>
        <v>#DIV/0!</v>
      </c>
      <c r="G27" s="23" t="e">
        <f t="shared" si="4"/>
        <v>#DIV/0!</v>
      </c>
      <c r="H27" s="24" t="e">
        <f t="shared" si="2"/>
        <v>#DIV/0!</v>
      </c>
      <c r="I27" s="25"/>
      <c r="J27" s="25"/>
    </row>
    <row r="28" ht="12.75" spans="1:22">
      <c r="A28" s="21">
        <v>45423</v>
      </c>
      <c r="D28" s="22"/>
      <c r="E28" s="34" t="e">
        <f t="shared" si="0"/>
        <v>#DIV/0!</v>
      </c>
      <c r="F28" s="34" t="e">
        <f t="shared" si="1"/>
        <v>#DIV/0!</v>
      </c>
      <c r="G28" s="23" t="e">
        <f t="shared" si="4"/>
        <v>#DIV/0!</v>
      </c>
      <c r="H28" s="24" t="e">
        <f t="shared" si="2"/>
        <v>#DIV/0!</v>
      </c>
      <c r="I28" s="25"/>
      <c r="J28" s="25"/>
    </row>
    <row r="29" ht="12.75" spans="1:22">
      <c r="A29" s="33">
        <v>45424</v>
      </c>
      <c r="B29">
        <v>1881</v>
      </c>
      <c r="C29">
        <v>650498.59</v>
      </c>
      <c r="D29" s="22">
        <v>1040.7</v>
      </c>
      <c r="E29" s="34">
        <f t="shared" si="0"/>
        <v>0.233578062021626</v>
      </c>
      <c r="F29" s="34">
        <f t="shared" si="1"/>
        <v>0.341727904437118</v>
      </c>
      <c r="G29" s="23">
        <f t="shared" si="4"/>
        <v>0.255208030504724</v>
      </c>
      <c r="H29" s="24">
        <f t="shared" si="2"/>
        <v>0.553269537480064</v>
      </c>
      <c r="I29" s="25"/>
      <c r="J29" s="25"/>
    </row>
    <row r="30" ht="12.75" spans="1:22">
      <c r="A30" s="33">
        <v>45425</v>
      </c>
      <c r="D30" s="22"/>
      <c r="E30" s="34" t="e">
        <f t="shared" si="0"/>
        <v>#DIV/0!</v>
      </c>
      <c r="F30" s="34" t="e">
        <f t="shared" si="1"/>
        <v>#DIV/0!</v>
      </c>
      <c r="G30" s="23" t="e">
        <f t="shared" si="4"/>
        <v>#DIV/0!</v>
      </c>
      <c r="H30" s="24" t="e">
        <f t="shared" si="2"/>
        <v>#DIV/0!</v>
      </c>
      <c r="I30" s="25"/>
      <c r="J30" s="25"/>
    </row>
    <row r="31" ht="12.75" spans="1:22">
      <c r="A31" s="21">
        <v>45426</v>
      </c>
      <c r="D31" s="22"/>
      <c r="E31" s="34" t="e">
        <f t="shared" si="0"/>
        <v>#DIV/0!</v>
      </c>
      <c r="F31" s="34" t="e">
        <f t="shared" si="1"/>
        <v>#DIV/0!</v>
      </c>
      <c r="G31" s="23" t="e">
        <f t="shared" si="4"/>
        <v>#DIV/0!</v>
      </c>
      <c r="H31" s="24" t="e">
        <f t="shared" si="2"/>
        <v>#DIV/0!</v>
      </c>
      <c r="I31" s="25"/>
      <c r="J31" s="25"/>
    </row>
    <row r="32" ht="12.75" spans="1:22">
      <c r="A32" s="33">
        <v>45427</v>
      </c>
      <c r="D32" s="22"/>
      <c r="E32" s="34" t="e">
        <f t="shared" si="0"/>
        <v>#DIV/0!</v>
      </c>
      <c r="F32" s="34" t="e">
        <f t="shared" si="1"/>
        <v>#DIV/0!</v>
      </c>
      <c r="G32" s="23" t="e">
        <f t="shared" si="4"/>
        <v>#DIV/0!</v>
      </c>
      <c r="H32" s="24" t="e">
        <f t="shared" si="2"/>
        <v>#DIV/0!</v>
      </c>
      <c r="I32" s="25"/>
      <c r="J32" s="25"/>
    </row>
    <row r="33" ht="12.75" spans="1:10">
      <c r="A33" s="33">
        <v>45428</v>
      </c>
      <c r="D33" s="22"/>
      <c r="E33" s="34" t="e">
        <f t="shared" si="0"/>
        <v>#DIV/0!</v>
      </c>
      <c r="F33" s="34" t="e">
        <f t="shared" si="1"/>
        <v>#DIV/0!</v>
      </c>
      <c r="G33" s="23" t="e">
        <f t="shared" si="4"/>
        <v>#DIV/0!</v>
      </c>
      <c r="H33" s="24" t="e">
        <f t="shared" si="2"/>
        <v>#DIV/0!</v>
      </c>
      <c r="I33" s="25"/>
      <c r="J33" s="25"/>
    </row>
    <row r="34" ht="12.75" spans="1:10">
      <c r="A34" s="21">
        <v>45429</v>
      </c>
      <c r="B34">
        <v>1595</v>
      </c>
      <c r="C34">
        <v>551045.06</v>
      </c>
      <c r="D34" s="22">
        <v>913.46</v>
      </c>
      <c r="E34" s="34">
        <f t="shared" si="0"/>
        <v>0.242022240431663</v>
      </c>
      <c r="F34" s="34">
        <f t="shared" si="1"/>
        <v>0.354081853124679</v>
      </c>
      <c r="G34" s="23">
        <f t="shared" si="4"/>
        <v>0.264434162970266</v>
      </c>
      <c r="H34" s="24">
        <f t="shared" si="2"/>
        <v>0.572702194357367</v>
      </c>
      <c r="I34" s="25"/>
      <c r="J34" s="25"/>
    </row>
    <row r="35" ht="12.75" spans="1:10">
      <c r="A35" s="33">
        <v>45430</v>
      </c>
      <c r="D35" s="22"/>
      <c r="E35" s="34" t="e">
        <f t="shared" si="0"/>
        <v>#DIV/0!</v>
      </c>
      <c r="F35" s="34" t="e">
        <f t="shared" si="1"/>
        <v>#DIV/0!</v>
      </c>
      <c r="G35" s="23" t="e">
        <f t="shared" si="4"/>
        <v>#DIV/0!</v>
      </c>
      <c r="H35" s="24" t="e">
        <f t="shared" si="2"/>
        <v>#DIV/0!</v>
      </c>
      <c r="I35" s="25"/>
      <c r="J35" s="25"/>
    </row>
    <row r="36" ht="12.75" spans="1:10">
      <c r="A36" s="33">
        <v>45431</v>
      </c>
      <c r="D36" s="22"/>
      <c r="E36" s="34" t="e">
        <f t="shared" si="0"/>
        <v>#DIV/0!</v>
      </c>
      <c r="F36" s="34" t="e">
        <f t="shared" si="1"/>
        <v>#DIV/0!</v>
      </c>
      <c r="G36" s="23" t="e">
        <f t="shared" si="4"/>
        <v>#DIV/0!</v>
      </c>
      <c r="H36" s="24" t="e">
        <f t="shared" si="2"/>
        <v>#DIV/0!</v>
      </c>
      <c r="I36" s="25"/>
      <c r="J36" s="25"/>
    </row>
    <row r="37" ht="12.75" spans="1:10">
      <c r="A37" s="21">
        <v>45432</v>
      </c>
      <c r="D37" s="22"/>
      <c r="E37" s="34" t="e">
        <f t="shared" si="0"/>
        <v>#DIV/0!</v>
      </c>
      <c r="F37" s="34" t="e">
        <f t="shared" si="1"/>
        <v>#DIV/0!</v>
      </c>
      <c r="G37" s="23" t="e">
        <f t="shared" si="4"/>
        <v>#DIV/0!</v>
      </c>
      <c r="H37" s="24" t="e">
        <f t="shared" si="2"/>
        <v>#DIV/0!</v>
      </c>
      <c r="I37" s="25"/>
      <c r="J37" s="25"/>
    </row>
    <row r="38" ht="12.75" spans="1:10">
      <c r="A38" s="33">
        <v>45433</v>
      </c>
      <c r="D38" s="22"/>
      <c r="E38" s="34" t="e">
        <f t="shared" si="0"/>
        <v>#DIV/0!</v>
      </c>
      <c r="F38" s="34" t="e">
        <f t="shared" si="1"/>
        <v>#DIV/0!</v>
      </c>
      <c r="G38" s="23" t="e">
        <f t="shared" si="4"/>
        <v>#DIV/0!</v>
      </c>
      <c r="H38" s="24" t="e">
        <f t="shared" si="2"/>
        <v>#DIV/0!</v>
      </c>
      <c r="I38" s="25"/>
      <c r="J38" s="25"/>
    </row>
    <row r="39" ht="12.75" spans="1:10">
      <c r="A39" s="33">
        <v>45434</v>
      </c>
      <c r="D39" s="22"/>
      <c r="E39" s="34" t="e">
        <f t="shared" si="0"/>
        <v>#DIV/0!</v>
      </c>
      <c r="F39" s="34" t="e">
        <f t="shared" si="1"/>
        <v>#DIV/0!</v>
      </c>
      <c r="G39" s="23" t="e">
        <f t="shared" si="4"/>
        <v>#DIV/0!</v>
      </c>
      <c r="H39" s="24" t="e">
        <f t="shared" si="2"/>
        <v>#DIV/0!</v>
      </c>
      <c r="I39" s="25"/>
      <c r="J39" s="25"/>
    </row>
    <row r="40" ht="12.75" spans="1:10">
      <c r="A40" s="21">
        <v>45435</v>
      </c>
      <c r="B40">
        <v>1778</v>
      </c>
      <c r="C40">
        <v>577855.5</v>
      </c>
      <c r="D40" s="22">
        <v>946.96</v>
      </c>
      <c r="E40" s="34">
        <f t="shared" si="0"/>
        <v>0.239257322981264</v>
      </c>
      <c r="F40" s="34">
        <f t="shared" si="1"/>
        <v>0.350036741019165</v>
      </c>
      <c r="G40" s="23">
        <f t="shared" si="4"/>
        <v>0.261413206588844</v>
      </c>
      <c r="H40" s="24">
        <f t="shared" si="2"/>
        <v>0.53259842519685</v>
      </c>
      <c r="I40" s="25"/>
      <c r="J40" s="25"/>
    </row>
    <row r="41" ht="12.75" spans="1:10">
      <c r="A41" s="33">
        <v>45436</v>
      </c>
      <c r="D41" s="22"/>
      <c r="E41" s="34" t="e">
        <f t="shared" si="0"/>
        <v>#DIV/0!</v>
      </c>
      <c r="F41" s="34" t="e">
        <f t="shared" si="1"/>
        <v>#DIV/0!</v>
      </c>
      <c r="G41" s="23" t="e">
        <f t="shared" si="4"/>
        <v>#DIV/0!</v>
      </c>
      <c r="H41" s="24" t="e">
        <f t="shared" si="2"/>
        <v>#DIV/0!</v>
      </c>
      <c r="I41" s="25"/>
      <c r="J41" s="25"/>
    </row>
    <row r="42" ht="12.75" spans="1:10">
      <c r="A42" s="21">
        <v>45437</v>
      </c>
      <c r="B42">
        <v>1871</v>
      </c>
      <c r="C42">
        <v>601970.44</v>
      </c>
      <c r="D42" s="22">
        <v>912.51</v>
      </c>
      <c r="E42" s="34">
        <f t="shared" si="0"/>
        <v>0.221317279300293</v>
      </c>
      <c r="F42" s="34">
        <f t="shared" si="1"/>
        <v>0.32379021135988</v>
      </c>
      <c r="G42" s="23">
        <f t="shared" si="4"/>
        <v>0.24181186571221</v>
      </c>
      <c r="H42" s="24">
        <f t="shared" si="2"/>
        <v>0.487712453233565</v>
      </c>
      <c r="I42" s="25"/>
      <c r="J42" s="25"/>
    </row>
    <row r="43" ht="12.75" spans="1:10">
      <c r="A43" s="21">
        <v>45438</v>
      </c>
      <c r="D43" s="22"/>
      <c r="E43" s="34" t="e">
        <f t="shared" si="0"/>
        <v>#DIV/0!</v>
      </c>
      <c r="F43" s="34" t="e">
        <f t="shared" si="1"/>
        <v>#DIV/0!</v>
      </c>
      <c r="G43" s="23" t="e">
        <f t="shared" si="4"/>
        <v>#DIV/0!</v>
      </c>
      <c r="H43" s="24" t="e">
        <f t="shared" si="2"/>
        <v>#DIV/0!</v>
      </c>
      <c r="I43" s="25"/>
      <c r="J43" s="25"/>
    </row>
    <row r="44" ht="12.75" spans="1:10">
      <c r="A44" s="21">
        <v>45439</v>
      </c>
      <c r="D44" s="22"/>
      <c r="E44" s="34" t="e">
        <f t="shared" si="0"/>
        <v>#DIV/0!</v>
      </c>
      <c r="F44" s="34" t="e">
        <f t="shared" si="1"/>
        <v>#DIV/0!</v>
      </c>
      <c r="G44" s="23" t="e">
        <f t="shared" si="4"/>
        <v>#DIV/0!</v>
      </c>
      <c r="H44" s="24" t="e">
        <f t="shared" si="2"/>
        <v>#DIV/0!</v>
      </c>
      <c r="I44" s="25"/>
      <c r="J44" s="25"/>
    </row>
    <row r="45" ht="12.75" spans="1:10">
      <c r="A45" s="21">
        <v>45440</v>
      </c>
      <c r="D45" s="22"/>
      <c r="E45" s="34" t="e">
        <f t="shared" si="0"/>
        <v>#DIV/0!</v>
      </c>
      <c r="F45" s="34" t="e">
        <f t="shared" si="1"/>
        <v>#DIV/0!</v>
      </c>
      <c r="G45" s="23" t="e">
        <f t="shared" si="4"/>
        <v>#DIV/0!</v>
      </c>
      <c r="H45" s="24" t="e">
        <f t="shared" si="2"/>
        <v>#DIV/0!</v>
      </c>
      <c r="I45" s="25"/>
      <c r="J45" s="25"/>
    </row>
    <row r="46" ht="12.75" spans="1:10">
      <c r="A46" s="21">
        <v>45441</v>
      </c>
      <c r="B46">
        <v>1962</v>
      </c>
      <c r="C46">
        <v>633297.4</v>
      </c>
      <c r="D46" s="22">
        <v>931.85</v>
      </c>
      <c r="E46" s="34">
        <f t="shared" si="0"/>
        <v>0.214828136038455</v>
      </c>
      <c r="F46" s="34">
        <f t="shared" si="1"/>
        <v>0.314296505875439</v>
      </c>
      <c r="G46" s="23">
        <f t="shared" si="4"/>
        <v>0.234721810005852</v>
      </c>
      <c r="H46" s="24">
        <f t="shared" si="2"/>
        <v>0.474949031600408</v>
      </c>
      <c r="I46" s="25"/>
      <c r="J46" s="25"/>
    </row>
    <row r="47" ht="24" customHeight="1" spans="1:10">
      <c r="A47" s="21">
        <v>45442</v>
      </c>
      <c r="B47" s="36"/>
      <c r="C47" s="37"/>
      <c r="D47" s="22"/>
      <c r="E47" s="34" t="e">
        <f t="shared" si="0"/>
        <v>#DIV/0!</v>
      </c>
      <c r="F47" s="34" t="e">
        <f t="shared" si="1"/>
        <v>#DIV/0!</v>
      </c>
      <c r="G47" s="23" t="e">
        <f t="shared" si="4"/>
        <v>#DIV/0!</v>
      </c>
      <c r="H47" s="24" t="e">
        <f t="shared" si="2"/>
        <v>#DIV/0!</v>
      </c>
      <c r="I47" s="25"/>
      <c r="J47" s="25"/>
    </row>
    <row r="48" ht="24" customHeight="1" spans="1:10">
      <c r="A48" s="21">
        <v>45443</v>
      </c>
      <c r="B48" s="36"/>
      <c r="D48" s="22"/>
      <c r="E48" s="34" t="e">
        <f t="shared" si="0"/>
        <v>#DIV/0!</v>
      </c>
      <c r="F48" s="34" t="e">
        <f t="shared" si="1"/>
        <v>#DIV/0!</v>
      </c>
      <c r="G48" s="23" t="e">
        <f t="shared" si="4"/>
        <v>#DIV/0!</v>
      </c>
      <c r="H48" s="24" t="e">
        <f t="shared" si="2"/>
        <v>#DIV/0!</v>
      </c>
      <c r="I48" s="25"/>
      <c r="J48" s="25"/>
    </row>
    <row r="49" ht="12.75" spans="1:14">
      <c r="A49" s="21">
        <v>45444</v>
      </c>
      <c r="B49" s="37"/>
      <c r="D49" s="29"/>
      <c r="E49" s="34" t="e">
        <f t="shared" si="0"/>
        <v>#DIV/0!</v>
      </c>
      <c r="F49" s="34" t="e">
        <f t="shared" si="1"/>
        <v>#DIV/0!</v>
      </c>
      <c r="G49" s="23" t="e">
        <f t="shared" si="4"/>
        <v>#DIV/0!</v>
      </c>
      <c r="H49" s="24" t="e">
        <f t="shared" si="2"/>
        <v>#DIV/0!</v>
      </c>
      <c r="I49" s="25"/>
      <c r="J49" s="25"/>
    </row>
    <row r="50" ht="24" customHeight="1" spans="1:14">
      <c r="A50" s="21">
        <v>45445</v>
      </c>
      <c r="B50">
        <v>2006</v>
      </c>
      <c r="C50">
        <v>710260.37</v>
      </c>
      <c r="D50" s="22">
        <v>1041.26</v>
      </c>
      <c r="E50" s="34">
        <f t="shared" si="0"/>
        <v>0.214039761221649</v>
      </c>
      <c r="F50" s="34">
        <f t="shared" si="1"/>
        <v>0.313143102718796</v>
      </c>
      <c r="G50" s="23">
        <f t="shared" si="4"/>
        <v>0.233860429521078</v>
      </c>
      <c r="H50" s="24">
        <f t="shared" si="2"/>
        <v>0.519072781655035</v>
      </c>
      <c r="I50" s="25"/>
      <c r="J50" s="25"/>
    </row>
    <row r="51" ht="12.75" spans="1:14">
      <c r="A51" s="21">
        <v>45446</v>
      </c>
      <c r="D51" s="29"/>
      <c r="E51" s="34" t="e">
        <f t="shared" si="0"/>
        <v>#DIV/0!</v>
      </c>
      <c r="F51" s="34" t="e">
        <f t="shared" si="1"/>
        <v>#DIV/0!</v>
      </c>
      <c r="G51" s="23" t="e">
        <f t="shared" si="4"/>
        <v>#DIV/0!</v>
      </c>
      <c r="H51" s="24" t="e">
        <f t="shared" si="2"/>
        <v>#DIV/0!</v>
      </c>
      <c r="I51" s="25"/>
      <c r="J51" s="25"/>
    </row>
    <row r="52" ht="12.75" spans="1:14">
      <c r="A52" s="21">
        <v>45447</v>
      </c>
      <c r="D52" s="29"/>
      <c r="E52" s="34" t="e">
        <f t="shared" si="0"/>
        <v>#DIV/0!</v>
      </c>
      <c r="F52" s="34" t="e">
        <f t="shared" si="1"/>
        <v>#DIV/0!</v>
      </c>
      <c r="G52" s="23" t="e">
        <f t="shared" si="4"/>
        <v>#DIV/0!</v>
      </c>
      <c r="H52" s="24" t="e">
        <f t="shared" si="2"/>
        <v>#DIV/0!</v>
      </c>
      <c r="I52" s="25"/>
      <c r="J52" s="25"/>
    </row>
    <row r="53" ht="12.75" spans="1:14">
      <c r="A53" s="21">
        <v>45448</v>
      </c>
      <c r="B53">
        <v>2020</v>
      </c>
      <c r="C53">
        <v>722564.77</v>
      </c>
      <c r="D53" s="29">
        <v>1069.72</v>
      </c>
      <c r="E53" s="34">
        <f t="shared" si="0"/>
        <v>0.216145495164399</v>
      </c>
      <c r="F53" s="34">
        <f t="shared" si="1"/>
        <v>0.31622382032271</v>
      </c>
      <c r="G53" s="23">
        <f t="shared" si="4"/>
        <v>0.236161160196061</v>
      </c>
      <c r="H53" s="24">
        <f t="shared" si="2"/>
        <v>0.529564356435644</v>
      </c>
      <c r="I53" s="25"/>
      <c r="J53" s="25"/>
    </row>
    <row r="54" ht="12.75" spans="1:14">
      <c r="A54" s="21">
        <v>45449</v>
      </c>
      <c r="D54" s="22"/>
      <c r="E54" s="34" t="e">
        <f t="shared" si="0"/>
        <v>#DIV/0!</v>
      </c>
      <c r="F54" s="34" t="e">
        <f t="shared" si="1"/>
        <v>#DIV/0!</v>
      </c>
      <c r="G54" s="23" t="e">
        <f t="shared" si="4"/>
        <v>#DIV/0!</v>
      </c>
      <c r="H54" s="24" t="e">
        <f t="shared" si="2"/>
        <v>#DIV/0!</v>
      </c>
      <c r="I54" s="25"/>
      <c r="J54" s="25"/>
    </row>
    <row r="55" ht="12.75" spans="1:14">
      <c r="A55" s="21">
        <v>45450</v>
      </c>
      <c r="D55" s="29"/>
      <c r="E55" s="34" t="e">
        <f t="shared" si="0"/>
        <v>#DIV/0!</v>
      </c>
      <c r="F55" s="34" t="e">
        <f t="shared" si="1"/>
        <v>#DIV/0!</v>
      </c>
      <c r="G55" s="23" t="e">
        <f t="shared" si="4"/>
        <v>#DIV/0!</v>
      </c>
      <c r="H55" s="24" t="e">
        <f t="shared" si="2"/>
        <v>#DIV/0!</v>
      </c>
      <c r="I55" s="25"/>
      <c r="J55" s="25"/>
    </row>
    <row r="56" ht="12.75" spans="1:14">
      <c r="A56" s="21">
        <v>45451</v>
      </c>
      <c r="D56" s="22"/>
      <c r="E56" s="34" t="e">
        <f t="shared" si="0"/>
        <v>#DIV/0!</v>
      </c>
      <c r="F56" s="34" t="e">
        <f t="shared" si="1"/>
        <v>#DIV/0!</v>
      </c>
      <c r="G56" s="23" t="e">
        <f t="shared" si="4"/>
        <v>#DIV/0!</v>
      </c>
      <c r="H56" s="24" t="e">
        <f t="shared" si="2"/>
        <v>#DIV/0!</v>
      </c>
      <c r="I56" s="25"/>
      <c r="J56" s="25"/>
    </row>
    <row r="57" ht="12.75" spans="1:14">
      <c r="A57" s="21">
        <v>45452</v>
      </c>
      <c r="B57">
        <v>2249</v>
      </c>
      <c r="C57">
        <v>778161.8</v>
      </c>
      <c r="D57" s="29">
        <v>1093.73</v>
      </c>
      <c r="E57" s="34">
        <f t="shared" si="0"/>
        <v>0.205207426013459</v>
      </c>
      <c r="F57" s="34">
        <f t="shared" si="1"/>
        <v>0.300221275318321</v>
      </c>
      <c r="G57" s="23">
        <f t="shared" si="4"/>
        <v>0.224210195874431</v>
      </c>
      <c r="H57" s="24">
        <f t="shared" si="2"/>
        <v>0.486318363717208</v>
      </c>
      <c r="I57" s="25">
        <f>L57+M57+B57+N57</f>
        <v>3438</v>
      </c>
      <c r="J57" s="25"/>
      <c r="L57">
        <v>529</v>
      </c>
      <c r="M57">
        <v>660</v>
      </c>
      <c r="N57">
        <v>0</v>
      </c>
    </row>
    <row r="58" ht="12.75" spans="1:14">
      <c r="A58" s="21">
        <v>45453</v>
      </c>
      <c r="B58">
        <v>2173</v>
      </c>
      <c r="C58">
        <v>720000.66</v>
      </c>
      <c r="D58" s="29">
        <v>980.49</v>
      </c>
      <c r="E58" s="34">
        <f t="shared" si="0"/>
        <v>0.198821401080382</v>
      </c>
      <c r="F58" s="34">
        <f t="shared" si="1"/>
        <v>0.290878433361436</v>
      </c>
      <c r="G58" s="23">
        <f t="shared" si="4"/>
        <v>0.217232807536593</v>
      </c>
      <c r="H58" s="24">
        <f t="shared" si="2"/>
        <v>0.45121491026231</v>
      </c>
      <c r="I58" s="25">
        <f>L58+M58+B58+N58</f>
        <v>3438</v>
      </c>
      <c r="J58" s="25"/>
      <c r="L58">
        <v>529</v>
      </c>
      <c r="M58">
        <v>735</v>
      </c>
      <c r="N58">
        <v>1</v>
      </c>
    </row>
    <row r="59" ht="12.75" spans="1:14">
      <c r="A59" s="21">
        <v>45454</v>
      </c>
      <c r="D59" s="29"/>
      <c r="E59" s="34" t="e">
        <f t="shared" si="0"/>
        <v>#DIV/0!</v>
      </c>
      <c r="F59" s="34" t="e">
        <f t="shared" si="1"/>
        <v>#DIV/0!</v>
      </c>
      <c r="G59" s="23" t="e">
        <f t="shared" si="4"/>
        <v>#DIV/0!</v>
      </c>
      <c r="H59" s="24" t="e">
        <f t="shared" si="2"/>
        <v>#DIV/0!</v>
      </c>
      <c r="I59" s="25"/>
      <c r="J59" s="25"/>
    </row>
    <row r="60" ht="12.75" spans="1:14">
      <c r="A60" s="21">
        <v>45455</v>
      </c>
      <c r="D60" s="22"/>
      <c r="E60" s="34" t="e">
        <f t="shared" si="0"/>
        <v>#DIV/0!</v>
      </c>
      <c r="F60" s="34" t="e">
        <f t="shared" si="1"/>
        <v>#DIV/0!</v>
      </c>
      <c r="G60" s="23" t="e">
        <f t="shared" si="4"/>
        <v>#DIV/0!</v>
      </c>
      <c r="H60" s="24" t="e">
        <f t="shared" si="2"/>
        <v>#DIV/0!</v>
      </c>
      <c r="I60" s="25"/>
      <c r="J60" s="25"/>
    </row>
    <row r="61" ht="12.75" spans="1:14">
      <c r="A61" s="21">
        <v>45456</v>
      </c>
      <c r="D61" s="29"/>
      <c r="E61" s="34" t="e">
        <f t="shared" si="0"/>
        <v>#DIV/0!</v>
      </c>
      <c r="F61" s="34" t="e">
        <f t="shared" si="1"/>
        <v>#DIV/0!</v>
      </c>
      <c r="G61" s="23" t="e">
        <f t="shared" si="4"/>
        <v>#DIV/0!</v>
      </c>
      <c r="H61" s="24" t="e">
        <f t="shared" si="2"/>
        <v>#DIV/0!</v>
      </c>
      <c r="I61" s="25"/>
      <c r="J61" s="25"/>
    </row>
    <row r="62" ht="12.75" spans="1:14">
      <c r="A62" s="21">
        <v>45457</v>
      </c>
      <c r="D62" s="22"/>
      <c r="E62" s="34" t="e">
        <f t="shared" si="0"/>
        <v>#DIV/0!</v>
      </c>
      <c r="F62" s="34" t="e">
        <f t="shared" si="1"/>
        <v>#DIV/0!</v>
      </c>
      <c r="G62" s="23" t="e">
        <f t="shared" si="4"/>
        <v>#DIV/0!</v>
      </c>
      <c r="H62" s="24" t="e">
        <f t="shared" si="2"/>
        <v>#DIV/0!</v>
      </c>
      <c r="I62" s="25"/>
      <c r="J62" s="25"/>
    </row>
    <row r="63" ht="12.75" spans="1:14">
      <c r="A63" s="21">
        <v>45458</v>
      </c>
      <c r="D63" s="29"/>
      <c r="E63" s="34" t="e">
        <f t="shared" si="0"/>
        <v>#DIV/0!</v>
      </c>
      <c r="F63" s="34" t="e">
        <f t="shared" si="1"/>
        <v>#DIV/0!</v>
      </c>
      <c r="G63" s="23" t="e">
        <f t="shared" si="4"/>
        <v>#DIV/0!</v>
      </c>
      <c r="H63" s="24" t="e">
        <f t="shared" si="2"/>
        <v>#DIV/0!</v>
      </c>
      <c r="I63" s="25"/>
      <c r="J63" s="25"/>
    </row>
    <row r="64" ht="12.75" spans="1:14">
      <c r="A64" s="21">
        <v>45459</v>
      </c>
      <c r="D64" s="29"/>
      <c r="E64" s="34" t="e">
        <f t="shared" si="0"/>
        <v>#DIV/0!</v>
      </c>
      <c r="F64" s="34" t="e">
        <f t="shared" si="1"/>
        <v>#DIV/0!</v>
      </c>
      <c r="G64" s="23" t="e">
        <f t="shared" si="4"/>
        <v>#DIV/0!</v>
      </c>
      <c r="H64" s="24" t="e">
        <f t="shared" si="2"/>
        <v>#DIV/0!</v>
      </c>
      <c r="I64" s="25"/>
      <c r="J64" s="25"/>
    </row>
    <row r="65" ht="12.75" spans="1:14">
      <c r="A65" s="21">
        <v>45460</v>
      </c>
      <c r="B65">
        <v>2039</v>
      </c>
      <c r="C65">
        <v>665963.22</v>
      </c>
      <c r="D65" s="29">
        <v>832.98</v>
      </c>
      <c r="E65" s="34">
        <f t="shared" si="0"/>
        <v>0.18261531019686</v>
      </c>
      <c r="F65" s="34">
        <f t="shared" si="1"/>
        <v>0.267168700397599</v>
      </c>
      <c r="G65" s="23">
        <f t="shared" si="4"/>
        <v>0.199525988237008</v>
      </c>
      <c r="H65" s="24">
        <f t="shared" si="2"/>
        <v>0.408523786169691</v>
      </c>
      <c r="I65" s="25">
        <f t="shared" ref="I65:I74" si="8">L65+M65+B65+N65</f>
        <v>3438</v>
      </c>
      <c r="J65" s="25"/>
      <c r="L65">
        <v>725</v>
      </c>
      <c r="M65">
        <v>672</v>
      </c>
      <c r="N65">
        <v>2</v>
      </c>
    </row>
    <row r="66" ht="12.75" spans="1:14">
      <c r="A66" s="21">
        <v>45461</v>
      </c>
      <c r="B66">
        <v>2104</v>
      </c>
      <c r="C66">
        <v>708165.25</v>
      </c>
      <c r="D66" s="22">
        <v>915.75</v>
      </c>
      <c r="E66" s="34">
        <f t="shared" ref="E66:E129" si="9">(D66*0.8)*182.5/C66</f>
        <v>0.188797035720123</v>
      </c>
      <c r="F66" s="34">
        <f t="shared" ref="F66:F129" si="10">(D66*0.8)*267/C66</f>
        <v>0.276212649519304</v>
      </c>
      <c r="G66" s="23">
        <f t="shared" si="4"/>
        <v>0.206280158479959</v>
      </c>
      <c r="H66" s="24">
        <f t="shared" ref="H66:H129" si="11">D66/B66</f>
        <v>0.435242395437262</v>
      </c>
      <c r="I66" s="25">
        <f t="shared" si="8"/>
        <v>3440</v>
      </c>
      <c r="J66" s="25"/>
      <c r="L66">
        <v>725</v>
      </c>
      <c r="M66">
        <v>609</v>
      </c>
      <c r="N66">
        <v>2</v>
      </c>
    </row>
    <row r="67" ht="12.75" spans="1:14">
      <c r="A67" s="21">
        <v>45462</v>
      </c>
      <c r="D67" s="29"/>
      <c r="E67" s="34" t="e">
        <f t="shared" si="9"/>
        <v>#DIV/0!</v>
      </c>
      <c r="F67" s="34" t="e">
        <f t="shared" si="10"/>
        <v>#DIV/0!</v>
      </c>
      <c r="G67" s="23" t="e">
        <f t="shared" ref="G67:G130" si="12">E67*0.8+F67*0.2</f>
        <v>#DIV/0!</v>
      </c>
      <c r="H67" s="24" t="e">
        <f t="shared" si="11"/>
        <v>#DIV/0!</v>
      </c>
      <c r="I67" s="25">
        <f t="shared" si="8"/>
        <v>727</v>
      </c>
      <c r="J67" s="25"/>
      <c r="L67">
        <v>725</v>
      </c>
      <c r="N67">
        <v>2</v>
      </c>
    </row>
    <row r="68" ht="12.75" spans="1:14">
      <c r="A68" s="21">
        <v>45463</v>
      </c>
      <c r="D68" s="22"/>
      <c r="E68" s="34" t="e">
        <f t="shared" si="9"/>
        <v>#DIV/0!</v>
      </c>
      <c r="F68" s="34" t="e">
        <f t="shared" si="10"/>
        <v>#DIV/0!</v>
      </c>
      <c r="G68" s="23" t="e">
        <f t="shared" si="12"/>
        <v>#DIV/0!</v>
      </c>
      <c r="H68" s="24" t="e">
        <f t="shared" si="11"/>
        <v>#DIV/0!</v>
      </c>
      <c r="I68" s="25">
        <f t="shared" si="8"/>
        <v>727</v>
      </c>
      <c r="J68" s="25"/>
      <c r="L68">
        <v>725</v>
      </c>
      <c r="N68">
        <v>2</v>
      </c>
    </row>
    <row r="69" ht="12.75" spans="1:14">
      <c r="A69" s="21">
        <v>45464</v>
      </c>
      <c r="D69" s="29"/>
      <c r="E69" s="34" t="e">
        <f t="shared" si="9"/>
        <v>#DIV/0!</v>
      </c>
      <c r="F69" s="34" t="e">
        <f t="shared" si="10"/>
        <v>#DIV/0!</v>
      </c>
      <c r="G69" s="23" t="e">
        <f t="shared" si="12"/>
        <v>#DIV/0!</v>
      </c>
      <c r="H69" s="24" t="e">
        <f t="shared" si="11"/>
        <v>#DIV/0!</v>
      </c>
      <c r="I69" s="25">
        <f t="shared" si="8"/>
        <v>727</v>
      </c>
      <c r="J69" s="25"/>
      <c r="L69">
        <v>725</v>
      </c>
      <c r="N69">
        <v>2</v>
      </c>
    </row>
    <row r="70" ht="12.75" spans="1:14">
      <c r="A70" s="21">
        <v>45465</v>
      </c>
      <c r="D70" s="29"/>
      <c r="E70" s="34" t="e">
        <f t="shared" si="9"/>
        <v>#DIV/0!</v>
      </c>
      <c r="F70" s="34" t="e">
        <f t="shared" si="10"/>
        <v>#DIV/0!</v>
      </c>
      <c r="G70" s="23" t="e">
        <f t="shared" si="12"/>
        <v>#DIV/0!</v>
      </c>
      <c r="H70" s="24" t="e">
        <f t="shared" si="11"/>
        <v>#DIV/0!</v>
      </c>
      <c r="I70" s="25">
        <f t="shared" si="8"/>
        <v>727</v>
      </c>
      <c r="J70" s="25"/>
      <c r="L70">
        <v>725</v>
      </c>
      <c r="N70">
        <v>2</v>
      </c>
    </row>
    <row r="71" ht="12.75" spans="1:14">
      <c r="A71" s="21">
        <v>45466</v>
      </c>
      <c r="D71" s="22"/>
      <c r="E71" s="34" t="e">
        <f t="shared" si="9"/>
        <v>#DIV/0!</v>
      </c>
      <c r="F71" s="34" t="e">
        <f t="shared" si="10"/>
        <v>#DIV/0!</v>
      </c>
      <c r="G71" s="23" t="e">
        <f t="shared" si="12"/>
        <v>#DIV/0!</v>
      </c>
      <c r="H71" s="24" t="e">
        <f t="shared" si="11"/>
        <v>#DIV/0!</v>
      </c>
      <c r="I71" s="25">
        <f t="shared" si="8"/>
        <v>0</v>
      </c>
      <c r="J71" s="25"/>
    </row>
    <row r="72" ht="12.75" spans="1:14">
      <c r="A72" s="21">
        <v>45467</v>
      </c>
      <c r="B72">
        <v>2244</v>
      </c>
      <c r="C72">
        <v>774468.05</v>
      </c>
      <c r="D72" s="22">
        <v>1026.59</v>
      </c>
      <c r="E72" s="34">
        <f t="shared" si="9"/>
        <v>0.193529145585799</v>
      </c>
      <c r="F72" s="34">
        <f t="shared" si="10"/>
        <v>0.28313579107621</v>
      </c>
      <c r="G72" s="23">
        <f t="shared" si="12"/>
        <v>0.211450474683881</v>
      </c>
      <c r="H72" s="24">
        <f t="shared" si="11"/>
        <v>0.457482174688057</v>
      </c>
      <c r="I72" s="25">
        <f t="shared" si="8"/>
        <v>2244</v>
      </c>
      <c r="J72" s="25"/>
    </row>
    <row r="73" ht="12.75" spans="1:14">
      <c r="A73" s="21">
        <v>45468</v>
      </c>
      <c r="D73" s="29"/>
      <c r="E73" s="34" t="e">
        <f t="shared" si="9"/>
        <v>#DIV/0!</v>
      </c>
      <c r="F73" s="34" t="e">
        <f t="shared" si="10"/>
        <v>#DIV/0!</v>
      </c>
      <c r="G73" s="23" t="e">
        <f t="shared" si="12"/>
        <v>#DIV/0!</v>
      </c>
      <c r="H73" s="24" t="e">
        <f t="shared" si="11"/>
        <v>#DIV/0!</v>
      </c>
      <c r="I73" s="25">
        <f t="shared" si="8"/>
        <v>0</v>
      </c>
      <c r="J73" s="25"/>
    </row>
    <row r="74" ht="12.75" spans="1:14">
      <c r="A74" s="21">
        <v>45469</v>
      </c>
      <c r="B74">
        <v>2177</v>
      </c>
      <c r="C74">
        <v>721921.17</v>
      </c>
      <c r="D74" s="22">
        <v>924.75</v>
      </c>
      <c r="E74" s="34">
        <f t="shared" si="9"/>
        <v>0.18701972682142</v>
      </c>
      <c r="F74" s="34">
        <f t="shared" si="10"/>
        <v>0.273612422253804</v>
      </c>
      <c r="G74" s="23">
        <f t="shared" si="12"/>
        <v>0.204338265907897</v>
      </c>
      <c r="H74" s="24">
        <f t="shared" si="11"/>
        <v>0.424781809830041</v>
      </c>
      <c r="I74" s="25">
        <f t="shared" si="8"/>
        <v>2177</v>
      </c>
      <c r="J74" s="25"/>
    </row>
    <row r="75" ht="12.75" spans="1:14">
      <c r="A75" s="21">
        <v>45470</v>
      </c>
      <c r="D75" s="22"/>
      <c r="E75" s="34" t="e">
        <f t="shared" si="9"/>
        <v>#DIV/0!</v>
      </c>
      <c r="F75" s="34" t="e">
        <f t="shared" si="10"/>
        <v>#DIV/0!</v>
      </c>
      <c r="G75" s="23" t="e">
        <f t="shared" si="12"/>
        <v>#DIV/0!</v>
      </c>
      <c r="H75" s="24" t="e">
        <f t="shared" si="11"/>
        <v>#DIV/0!</v>
      </c>
      <c r="I75" s="25"/>
      <c r="J75" s="25"/>
    </row>
    <row r="76" ht="12.75" spans="1:14">
      <c r="A76" s="21">
        <v>45471</v>
      </c>
      <c r="D76" s="29"/>
      <c r="E76" s="34" t="e">
        <f t="shared" si="9"/>
        <v>#DIV/0!</v>
      </c>
      <c r="F76" s="34" t="e">
        <f t="shared" si="10"/>
        <v>#DIV/0!</v>
      </c>
      <c r="G76" s="23" t="e">
        <f t="shared" si="12"/>
        <v>#DIV/0!</v>
      </c>
      <c r="H76" s="24" t="e">
        <f t="shared" si="11"/>
        <v>#DIV/0!</v>
      </c>
      <c r="I76" s="25"/>
      <c r="J76" s="25"/>
    </row>
    <row r="77" ht="12.75" spans="1:14">
      <c r="A77" s="21">
        <v>45472</v>
      </c>
      <c r="D77" s="29"/>
      <c r="E77" s="34" t="e">
        <f t="shared" si="9"/>
        <v>#DIV/0!</v>
      </c>
      <c r="F77" s="34" t="e">
        <f t="shared" si="10"/>
        <v>#DIV/0!</v>
      </c>
      <c r="G77" s="23" t="e">
        <f t="shared" si="12"/>
        <v>#DIV/0!</v>
      </c>
      <c r="H77" s="24" t="e">
        <f t="shared" si="11"/>
        <v>#DIV/0!</v>
      </c>
      <c r="I77" s="25"/>
      <c r="J77" s="25"/>
    </row>
    <row r="78" ht="12.75" spans="1:14">
      <c r="A78" s="21">
        <v>45473</v>
      </c>
      <c r="D78" s="22"/>
      <c r="E78" s="34" t="e">
        <f t="shared" si="9"/>
        <v>#DIV/0!</v>
      </c>
      <c r="F78" s="34" t="e">
        <f t="shared" si="10"/>
        <v>#DIV/0!</v>
      </c>
      <c r="G78" s="23" t="e">
        <f t="shared" si="12"/>
        <v>#DIV/0!</v>
      </c>
      <c r="H78" s="24" t="e">
        <f t="shared" si="11"/>
        <v>#DIV/0!</v>
      </c>
      <c r="I78" s="25"/>
      <c r="J78" s="25"/>
    </row>
    <row r="79" ht="12.75" spans="1:14">
      <c r="A79" s="21">
        <v>45474</v>
      </c>
      <c r="D79" s="29"/>
      <c r="E79" s="34" t="e">
        <f t="shared" si="9"/>
        <v>#DIV/0!</v>
      </c>
      <c r="F79" s="34" t="e">
        <f t="shared" si="10"/>
        <v>#DIV/0!</v>
      </c>
      <c r="G79" s="23" t="e">
        <f t="shared" si="12"/>
        <v>#DIV/0!</v>
      </c>
      <c r="H79" s="24" t="e">
        <f t="shared" si="11"/>
        <v>#DIV/0!</v>
      </c>
      <c r="I79" s="25"/>
      <c r="J79" s="25"/>
    </row>
    <row r="80" ht="12.75" spans="1:14">
      <c r="A80" s="21">
        <v>45475</v>
      </c>
      <c r="B80">
        <v>2519</v>
      </c>
      <c r="C80">
        <v>806265.47</v>
      </c>
      <c r="D80" s="22">
        <v>926</v>
      </c>
      <c r="E80" s="34">
        <f t="shared" si="9"/>
        <v>0.167681743830602</v>
      </c>
      <c r="F80" s="34">
        <f t="shared" si="10"/>
        <v>0.24532068823436</v>
      </c>
      <c r="G80" s="23">
        <f t="shared" si="12"/>
        <v>0.183209532711354</v>
      </c>
      <c r="H80" s="24">
        <f t="shared" si="11"/>
        <v>0.367606192933704</v>
      </c>
      <c r="I80" s="25">
        <v>3438</v>
      </c>
      <c r="J80" s="25">
        <f t="shared" ref="J80:J143" si="13">C80/(B80/I80)</f>
        <v>1100413.13452164</v>
      </c>
      <c r="K80" s="26">
        <f t="shared" ref="K80:K143" si="14">(J80-1200000)/1200000</f>
        <v>-0.0829890545653038</v>
      </c>
      <c r="L80">
        <v>425</v>
      </c>
      <c r="M80">
        <v>364</v>
      </c>
      <c r="N80">
        <v>2</v>
      </c>
    </row>
    <row r="81" ht="12.75" spans="1:11">
      <c r="A81" s="21">
        <v>45476</v>
      </c>
      <c r="D81" s="29"/>
      <c r="E81" s="34" t="e">
        <f t="shared" si="9"/>
        <v>#DIV/0!</v>
      </c>
      <c r="F81" s="34" t="e">
        <f t="shared" si="10"/>
        <v>#DIV/0!</v>
      </c>
      <c r="G81" s="23" t="e">
        <f t="shared" si="12"/>
        <v>#DIV/0!</v>
      </c>
      <c r="H81" s="24" t="e">
        <f t="shared" si="11"/>
        <v>#DIV/0!</v>
      </c>
      <c r="I81" s="25">
        <f t="shared" ref="I81:I144" si="15">L81+M81+B81+N81</f>
        <v>0</v>
      </c>
      <c r="J81" s="25" t="e">
        <f t="shared" si="13"/>
        <v>#DIV/0!</v>
      </c>
      <c r="K81" s="26" t="e">
        <f t="shared" si="14"/>
        <v>#DIV/0!</v>
      </c>
    </row>
    <row r="82" ht="12.75" spans="1:11">
      <c r="A82" s="21">
        <v>45477</v>
      </c>
      <c r="D82" s="29"/>
      <c r="E82" s="34" t="e">
        <f t="shared" si="9"/>
        <v>#DIV/0!</v>
      </c>
      <c r="F82" s="34" t="e">
        <f t="shared" si="10"/>
        <v>#DIV/0!</v>
      </c>
      <c r="G82" s="23" t="e">
        <f t="shared" si="12"/>
        <v>#DIV/0!</v>
      </c>
      <c r="H82" s="24" t="e">
        <f t="shared" si="11"/>
        <v>#DIV/0!</v>
      </c>
      <c r="I82" s="25">
        <f t="shared" si="15"/>
        <v>0</v>
      </c>
      <c r="J82" s="25" t="e">
        <f t="shared" si="13"/>
        <v>#DIV/0!</v>
      </c>
      <c r="K82" s="26" t="e">
        <f t="shared" si="14"/>
        <v>#DIV/0!</v>
      </c>
    </row>
    <row r="83" ht="12.75" spans="1:11">
      <c r="A83" s="21">
        <v>45478</v>
      </c>
      <c r="D83" s="22"/>
      <c r="E83" s="34" t="e">
        <f t="shared" si="9"/>
        <v>#DIV/0!</v>
      </c>
      <c r="F83" s="34" t="e">
        <f t="shared" si="10"/>
        <v>#DIV/0!</v>
      </c>
      <c r="G83" s="23" t="e">
        <f t="shared" si="12"/>
        <v>#DIV/0!</v>
      </c>
      <c r="H83" s="24" t="e">
        <f t="shared" si="11"/>
        <v>#DIV/0!</v>
      </c>
      <c r="I83" s="25">
        <f t="shared" si="15"/>
        <v>0</v>
      </c>
      <c r="J83" s="25" t="e">
        <f t="shared" si="13"/>
        <v>#DIV/0!</v>
      </c>
      <c r="K83" s="26" t="e">
        <f t="shared" si="14"/>
        <v>#DIV/0!</v>
      </c>
    </row>
    <row r="84" ht="12.75" spans="1:11">
      <c r="A84" s="21">
        <v>45479</v>
      </c>
      <c r="D84" s="22"/>
      <c r="E84" s="34" t="e">
        <f t="shared" si="9"/>
        <v>#DIV/0!</v>
      </c>
      <c r="F84" s="34" t="e">
        <f t="shared" si="10"/>
        <v>#DIV/0!</v>
      </c>
      <c r="G84" s="23" t="e">
        <f t="shared" si="12"/>
        <v>#DIV/0!</v>
      </c>
      <c r="H84" s="24" t="e">
        <f t="shared" si="11"/>
        <v>#DIV/0!</v>
      </c>
      <c r="I84" s="25">
        <f t="shared" si="15"/>
        <v>0</v>
      </c>
      <c r="J84" s="25" t="e">
        <f t="shared" si="13"/>
        <v>#DIV/0!</v>
      </c>
      <c r="K84" s="26" t="e">
        <f t="shared" si="14"/>
        <v>#DIV/0!</v>
      </c>
    </row>
    <row r="85" ht="12.75" spans="1:11">
      <c r="A85" s="21">
        <v>45480</v>
      </c>
      <c r="D85" s="29"/>
      <c r="E85" s="34" t="e">
        <f t="shared" si="9"/>
        <v>#DIV/0!</v>
      </c>
      <c r="F85" s="34" t="e">
        <f t="shared" si="10"/>
        <v>#DIV/0!</v>
      </c>
      <c r="G85" s="23" t="e">
        <f t="shared" si="12"/>
        <v>#DIV/0!</v>
      </c>
      <c r="H85" s="24" t="e">
        <f t="shared" si="11"/>
        <v>#DIV/0!</v>
      </c>
      <c r="I85" s="25">
        <f t="shared" si="15"/>
        <v>0</v>
      </c>
      <c r="J85" s="25" t="e">
        <f t="shared" si="13"/>
        <v>#DIV/0!</v>
      </c>
      <c r="K85" s="26" t="e">
        <f t="shared" si="14"/>
        <v>#DIV/0!</v>
      </c>
    </row>
    <row r="86" ht="12.75" spans="1:11">
      <c r="A86" s="21">
        <v>45481</v>
      </c>
      <c r="D86" s="22"/>
      <c r="E86" s="34" t="e">
        <f t="shared" si="9"/>
        <v>#DIV/0!</v>
      </c>
      <c r="F86" s="34" t="e">
        <f t="shared" si="10"/>
        <v>#DIV/0!</v>
      </c>
      <c r="G86" s="23" t="e">
        <f t="shared" si="12"/>
        <v>#DIV/0!</v>
      </c>
      <c r="H86" s="24" t="e">
        <f t="shared" si="11"/>
        <v>#DIV/0!</v>
      </c>
      <c r="I86" s="25">
        <f t="shared" si="15"/>
        <v>0</v>
      </c>
      <c r="J86" s="25" t="e">
        <f t="shared" si="13"/>
        <v>#DIV/0!</v>
      </c>
      <c r="K86" s="26" t="e">
        <f t="shared" si="14"/>
        <v>#DIV/0!</v>
      </c>
    </row>
    <row r="87" ht="12.75" spans="1:11">
      <c r="A87" s="21">
        <v>45482</v>
      </c>
      <c r="D87" s="22"/>
      <c r="E87" s="34" t="e">
        <f t="shared" si="9"/>
        <v>#DIV/0!</v>
      </c>
      <c r="F87" s="34" t="e">
        <f t="shared" si="10"/>
        <v>#DIV/0!</v>
      </c>
      <c r="G87" s="23" t="e">
        <f t="shared" si="12"/>
        <v>#DIV/0!</v>
      </c>
      <c r="H87" s="24" t="e">
        <f t="shared" si="11"/>
        <v>#DIV/0!</v>
      </c>
      <c r="I87" s="25">
        <f t="shared" si="15"/>
        <v>0</v>
      </c>
      <c r="J87" s="25" t="e">
        <f t="shared" si="13"/>
        <v>#DIV/0!</v>
      </c>
      <c r="K87" s="26" t="e">
        <f t="shared" si="14"/>
        <v>#DIV/0!</v>
      </c>
    </row>
    <row r="88" ht="12.75" spans="1:11">
      <c r="A88" s="21">
        <v>45483</v>
      </c>
      <c r="D88" s="29"/>
      <c r="E88" s="34" t="e">
        <f t="shared" si="9"/>
        <v>#DIV/0!</v>
      </c>
      <c r="F88" s="34" t="e">
        <f t="shared" si="10"/>
        <v>#DIV/0!</v>
      </c>
      <c r="G88" s="23" t="e">
        <f t="shared" si="12"/>
        <v>#DIV/0!</v>
      </c>
      <c r="H88" s="24" t="e">
        <f t="shared" si="11"/>
        <v>#DIV/0!</v>
      </c>
      <c r="I88" s="25">
        <f t="shared" si="15"/>
        <v>0</v>
      </c>
      <c r="J88" s="25" t="e">
        <f t="shared" si="13"/>
        <v>#DIV/0!</v>
      </c>
      <c r="K88" s="26" t="e">
        <f t="shared" si="14"/>
        <v>#DIV/0!</v>
      </c>
    </row>
    <row r="89" ht="12.75" spans="1:11">
      <c r="A89" s="21">
        <v>45484</v>
      </c>
      <c r="D89" s="29"/>
      <c r="E89" s="34" t="e">
        <f t="shared" si="9"/>
        <v>#DIV/0!</v>
      </c>
      <c r="F89" s="34" t="e">
        <f t="shared" si="10"/>
        <v>#DIV/0!</v>
      </c>
      <c r="G89" s="23" t="e">
        <f t="shared" si="12"/>
        <v>#DIV/0!</v>
      </c>
      <c r="H89" s="24" t="e">
        <f t="shared" si="11"/>
        <v>#DIV/0!</v>
      </c>
      <c r="I89" s="25">
        <f t="shared" si="15"/>
        <v>0</v>
      </c>
      <c r="J89" s="25" t="e">
        <f t="shared" si="13"/>
        <v>#DIV/0!</v>
      </c>
      <c r="K89" s="26" t="e">
        <f t="shared" si="14"/>
        <v>#DIV/0!</v>
      </c>
    </row>
    <row r="90" ht="12.75" spans="1:11">
      <c r="A90" s="21">
        <v>45485</v>
      </c>
      <c r="D90" s="22"/>
      <c r="E90" s="34" t="e">
        <f t="shared" si="9"/>
        <v>#DIV/0!</v>
      </c>
      <c r="F90" s="34" t="e">
        <f t="shared" si="10"/>
        <v>#DIV/0!</v>
      </c>
      <c r="G90" s="23" t="e">
        <f t="shared" si="12"/>
        <v>#DIV/0!</v>
      </c>
      <c r="H90" s="24" t="e">
        <f t="shared" si="11"/>
        <v>#DIV/0!</v>
      </c>
      <c r="I90" s="25">
        <f t="shared" si="15"/>
        <v>0</v>
      </c>
      <c r="J90" s="25" t="e">
        <f t="shared" si="13"/>
        <v>#DIV/0!</v>
      </c>
      <c r="K90" s="26" t="e">
        <f t="shared" si="14"/>
        <v>#DIV/0!</v>
      </c>
    </row>
    <row r="91" ht="12.75" spans="1:11">
      <c r="A91" s="21">
        <v>45486</v>
      </c>
      <c r="D91" s="29"/>
      <c r="E91" s="34" t="e">
        <f t="shared" si="9"/>
        <v>#DIV/0!</v>
      </c>
      <c r="F91" s="34" t="e">
        <f t="shared" si="10"/>
        <v>#DIV/0!</v>
      </c>
      <c r="G91" s="23" t="e">
        <f t="shared" si="12"/>
        <v>#DIV/0!</v>
      </c>
      <c r="H91" s="24" t="e">
        <f t="shared" si="11"/>
        <v>#DIV/0!</v>
      </c>
      <c r="I91" s="25">
        <f t="shared" si="15"/>
        <v>0</v>
      </c>
      <c r="J91" s="25" t="e">
        <f t="shared" si="13"/>
        <v>#DIV/0!</v>
      </c>
      <c r="K91" s="26" t="e">
        <f t="shared" si="14"/>
        <v>#DIV/0!</v>
      </c>
    </row>
    <row r="92" ht="12.75" spans="1:11">
      <c r="A92" s="21">
        <v>45487</v>
      </c>
      <c r="D92" s="22"/>
      <c r="E92" s="34" t="e">
        <f t="shared" si="9"/>
        <v>#DIV/0!</v>
      </c>
      <c r="F92" s="34" t="e">
        <f t="shared" si="10"/>
        <v>#DIV/0!</v>
      </c>
      <c r="G92" s="23" t="e">
        <f t="shared" si="12"/>
        <v>#DIV/0!</v>
      </c>
      <c r="H92" s="24" t="e">
        <f t="shared" si="11"/>
        <v>#DIV/0!</v>
      </c>
      <c r="I92" s="25">
        <f t="shared" si="15"/>
        <v>0</v>
      </c>
      <c r="J92" s="25" t="e">
        <f t="shared" si="13"/>
        <v>#DIV/0!</v>
      </c>
      <c r="K92" s="26" t="e">
        <f t="shared" si="14"/>
        <v>#DIV/0!</v>
      </c>
    </row>
    <row r="93" ht="12.75" spans="1:11">
      <c r="A93" s="21">
        <v>45488</v>
      </c>
      <c r="D93" s="29"/>
      <c r="E93" s="34" t="e">
        <f t="shared" si="9"/>
        <v>#DIV/0!</v>
      </c>
      <c r="F93" s="34" t="e">
        <f t="shared" si="10"/>
        <v>#DIV/0!</v>
      </c>
      <c r="G93" s="23" t="e">
        <f t="shared" si="12"/>
        <v>#DIV/0!</v>
      </c>
      <c r="H93" s="24" t="e">
        <f t="shared" si="11"/>
        <v>#DIV/0!</v>
      </c>
      <c r="I93" s="25">
        <f t="shared" si="15"/>
        <v>0</v>
      </c>
      <c r="J93" s="25" t="e">
        <f t="shared" si="13"/>
        <v>#DIV/0!</v>
      </c>
      <c r="K93" s="26" t="e">
        <f t="shared" si="14"/>
        <v>#DIV/0!</v>
      </c>
    </row>
    <row r="94" ht="12.75" spans="1:11">
      <c r="A94" s="21">
        <v>45489</v>
      </c>
      <c r="D94" s="29"/>
      <c r="E94" s="34" t="e">
        <f t="shared" si="9"/>
        <v>#DIV/0!</v>
      </c>
      <c r="F94" s="34" t="e">
        <f t="shared" si="10"/>
        <v>#DIV/0!</v>
      </c>
      <c r="G94" s="23" t="e">
        <f t="shared" si="12"/>
        <v>#DIV/0!</v>
      </c>
      <c r="H94" s="24" t="e">
        <f t="shared" si="11"/>
        <v>#DIV/0!</v>
      </c>
      <c r="I94" s="25">
        <f t="shared" si="15"/>
        <v>0</v>
      </c>
      <c r="J94" s="25" t="e">
        <f t="shared" si="13"/>
        <v>#DIV/0!</v>
      </c>
      <c r="K94" s="26" t="e">
        <f t="shared" si="14"/>
        <v>#DIV/0!</v>
      </c>
    </row>
    <row r="95" ht="12.75" spans="1:11">
      <c r="A95" s="21">
        <v>45490</v>
      </c>
      <c r="D95" s="22"/>
      <c r="E95" s="34" t="e">
        <f t="shared" si="9"/>
        <v>#DIV/0!</v>
      </c>
      <c r="F95" s="34" t="e">
        <f t="shared" si="10"/>
        <v>#DIV/0!</v>
      </c>
      <c r="G95" s="23" t="e">
        <f t="shared" si="12"/>
        <v>#DIV/0!</v>
      </c>
      <c r="H95" s="24" t="e">
        <f t="shared" si="11"/>
        <v>#DIV/0!</v>
      </c>
      <c r="I95" s="25">
        <f t="shared" si="15"/>
        <v>0</v>
      </c>
      <c r="J95" s="25" t="e">
        <f t="shared" si="13"/>
        <v>#DIV/0!</v>
      </c>
      <c r="K95" s="26" t="e">
        <f t="shared" si="14"/>
        <v>#DIV/0!</v>
      </c>
    </row>
    <row r="96" ht="12.75" spans="1:11">
      <c r="A96" s="21">
        <v>45491</v>
      </c>
      <c r="D96" s="22"/>
      <c r="E96" s="34" t="e">
        <f t="shared" si="9"/>
        <v>#DIV/0!</v>
      </c>
      <c r="F96" s="34" t="e">
        <f t="shared" si="10"/>
        <v>#DIV/0!</v>
      </c>
      <c r="G96" s="23" t="e">
        <f t="shared" si="12"/>
        <v>#DIV/0!</v>
      </c>
      <c r="H96" s="24" t="e">
        <f t="shared" si="11"/>
        <v>#DIV/0!</v>
      </c>
      <c r="I96" s="25">
        <f t="shared" si="15"/>
        <v>0</v>
      </c>
      <c r="J96" s="25" t="e">
        <f t="shared" si="13"/>
        <v>#DIV/0!</v>
      </c>
      <c r="K96" s="26" t="e">
        <f t="shared" si="14"/>
        <v>#DIV/0!</v>
      </c>
    </row>
    <row r="97" ht="12.75" spans="1:11">
      <c r="A97" s="21">
        <v>45492</v>
      </c>
      <c r="D97" s="29"/>
      <c r="E97" s="34" t="e">
        <f t="shared" si="9"/>
        <v>#DIV/0!</v>
      </c>
      <c r="F97" s="34" t="e">
        <f t="shared" si="10"/>
        <v>#DIV/0!</v>
      </c>
      <c r="G97" s="23" t="e">
        <f t="shared" si="12"/>
        <v>#DIV/0!</v>
      </c>
      <c r="H97" s="24" t="e">
        <f t="shared" si="11"/>
        <v>#DIV/0!</v>
      </c>
      <c r="I97" s="25">
        <f t="shared" si="15"/>
        <v>0</v>
      </c>
      <c r="J97" s="25" t="e">
        <f t="shared" si="13"/>
        <v>#DIV/0!</v>
      </c>
      <c r="K97" s="26" t="e">
        <f t="shared" si="14"/>
        <v>#DIV/0!</v>
      </c>
    </row>
    <row r="98" ht="12.75" spans="1:11">
      <c r="A98" s="21">
        <v>45493</v>
      </c>
      <c r="D98" s="22"/>
      <c r="E98" s="34" t="e">
        <f t="shared" si="9"/>
        <v>#DIV/0!</v>
      </c>
      <c r="F98" s="34" t="e">
        <f t="shared" si="10"/>
        <v>#DIV/0!</v>
      </c>
      <c r="G98" s="23" t="e">
        <f t="shared" si="12"/>
        <v>#DIV/0!</v>
      </c>
      <c r="H98" s="24" t="e">
        <f t="shared" si="11"/>
        <v>#DIV/0!</v>
      </c>
      <c r="I98" s="25">
        <f t="shared" si="15"/>
        <v>0</v>
      </c>
      <c r="J98" s="25" t="e">
        <f t="shared" si="13"/>
        <v>#DIV/0!</v>
      </c>
      <c r="K98" s="26" t="e">
        <f t="shared" si="14"/>
        <v>#DIV/0!</v>
      </c>
    </row>
    <row r="99" ht="12.75" spans="1:11">
      <c r="A99" s="21">
        <v>45494</v>
      </c>
      <c r="D99" s="22"/>
      <c r="E99" s="34" t="e">
        <f t="shared" si="9"/>
        <v>#DIV/0!</v>
      </c>
      <c r="F99" s="34" t="e">
        <f t="shared" si="10"/>
        <v>#DIV/0!</v>
      </c>
      <c r="G99" s="23" t="e">
        <f t="shared" si="12"/>
        <v>#DIV/0!</v>
      </c>
      <c r="H99" s="24" t="e">
        <f t="shared" si="11"/>
        <v>#DIV/0!</v>
      </c>
      <c r="I99" s="25">
        <f t="shared" si="15"/>
        <v>0</v>
      </c>
      <c r="J99" s="25" t="e">
        <f t="shared" si="13"/>
        <v>#DIV/0!</v>
      </c>
      <c r="K99" s="26" t="e">
        <f t="shared" si="14"/>
        <v>#DIV/0!</v>
      </c>
    </row>
    <row r="100" ht="12.75" spans="1:11">
      <c r="A100" s="21">
        <v>45495</v>
      </c>
      <c r="D100" s="22"/>
      <c r="E100" s="34" t="e">
        <f t="shared" si="9"/>
        <v>#DIV/0!</v>
      </c>
      <c r="F100" s="34" t="e">
        <f t="shared" si="10"/>
        <v>#DIV/0!</v>
      </c>
      <c r="G100" s="23" t="e">
        <f t="shared" si="12"/>
        <v>#DIV/0!</v>
      </c>
      <c r="H100" s="24" t="e">
        <f t="shared" si="11"/>
        <v>#DIV/0!</v>
      </c>
      <c r="I100" s="25">
        <f t="shared" si="15"/>
        <v>0</v>
      </c>
      <c r="J100" s="25" t="e">
        <f t="shared" si="13"/>
        <v>#DIV/0!</v>
      </c>
      <c r="K100" s="26" t="e">
        <f t="shared" si="14"/>
        <v>#DIV/0!</v>
      </c>
    </row>
    <row r="101" ht="12.75" spans="1:11">
      <c r="A101" s="21">
        <v>45496</v>
      </c>
      <c r="D101" s="29"/>
      <c r="E101" s="34" t="e">
        <f t="shared" si="9"/>
        <v>#DIV/0!</v>
      </c>
      <c r="F101" s="34" t="e">
        <f t="shared" si="10"/>
        <v>#DIV/0!</v>
      </c>
      <c r="G101" s="23" t="e">
        <f t="shared" si="12"/>
        <v>#DIV/0!</v>
      </c>
      <c r="H101" s="24" t="e">
        <f t="shared" si="11"/>
        <v>#DIV/0!</v>
      </c>
      <c r="I101" s="25">
        <f t="shared" si="15"/>
        <v>0</v>
      </c>
      <c r="J101" s="25" t="e">
        <f t="shared" si="13"/>
        <v>#DIV/0!</v>
      </c>
      <c r="K101" s="26" t="e">
        <f t="shared" si="14"/>
        <v>#DIV/0!</v>
      </c>
    </row>
    <row r="102" ht="12.75" spans="1:11">
      <c r="A102" s="21">
        <v>45497</v>
      </c>
      <c r="D102" s="22"/>
      <c r="E102" s="34" t="e">
        <f t="shared" si="9"/>
        <v>#DIV/0!</v>
      </c>
      <c r="F102" s="34" t="e">
        <f t="shared" si="10"/>
        <v>#DIV/0!</v>
      </c>
      <c r="G102" s="23" t="e">
        <f t="shared" si="12"/>
        <v>#DIV/0!</v>
      </c>
      <c r="H102" s="24" t="e">
        <f t="shared" si="11"/>
        <v>#DIV/0!</v>
      </c>
      <c r="I102" s="25">
        <f t="shared" si="15"/>
        <v>0</v>
      </c>
      <c r="J102" s="25" t="e">
        <f t="shared" si="13"/>
        <v>#DIV/0!</v>
      </c>
      <c r="K102" s="26" t="e">
        <f t="shared" si="14"/>
        <v>#DIV/0!</v>
      </c>
    </row>
    <row r="103" ht="12.75" spans="1:11">
      <c r="A103" s="21">
        <v>45498</v>
      </c>
      <c r="D103" s="22"/>
      <c r="E103" s="34" t="e">
        <f t="shared" si="9"/>
        <v>#DIV/0!</v>
      </c>
      <c r="F103" s="34" t="e">
        <f t="shared" si="10"/>
        <v>#DIV/0!</v>
      </c>
      <c r="G103" s="23" t="e">
        <f t="shared" si="12"/>
        <v>#DIV/0!</v>
      </c>
      <c r="H103" s="24" t="e">
        <f t="shared" si="11"/>
        <v>#DIV/0!</v>
      </c>
      <c r="I103" s="25">
        <f t="shared" si="15"/>
        <v>0</v>
      </c>
      <c r="J103" s="25" t="e">
        <f t="shared" si="13"/>
        <v>#DIV/0!</v>
      </c>
      <c r="K103" s="26" t="e">
        <f t="shared" si="14"/>
        <v>#DIV/0!</v>
      </c>
    </row>
    <row r="104" ht="12.75" spans="1:11">
      <c r="A104" s="21">
        <v>45499</v>
      </c>
      <c r="D104" s="22"/>
      <c r="E104" s="34" t="e">
        <f t="shared" si="9"/>
        <v>#DIV/0!</v>
      </c>
      <c r="F104" s="34" t="e">
        <f t="shared" si="10"/>
        <v>#DIV/0!</v>
      </c>
      <c r="G104" s="23" t="e">
        <f t="shared" si="12"/>
        <v>#DIV/0!</v>
      </c>
      <c r="H104" s="24" t="e">
        <f t="shared" si="11"/>
        <v>#DIV/0!</v>
      </c>
      <c r="I104" s="25">
        <f t="shared" si="15"/>
        <v>0</v>
      </c>
      <c r="J104" s="25" t="e">
        <f t="shared" si="13"/>
        <v>#DIV/0!</v>
      </c>
      <c r="K104" s="26" t="e">
        <f t="shared" si="14"/>
        <v>#DIV/0!</v>
      </c>
    </row>
    <row r="105" ht="12.75" spans="1:11">
      <c r="A105" s="21">
        <v>45500</v>
      </c>
      <c r="D105" s="29"/>
      <c r="E105" s="34" t="e">
        <f t="shared" si="9"/>
        <v>#DIV/0!</v>
      </c>
      <c r="F105" s="34" t="e">
        <f t="shared" si="10"/>
        <v>#DIV/0!</v>
      </c>
      <c r="G105" s="23" t="e">
        <f t="shared" si="12"/>
        <v>#DIV/0!</v>
      </c>
      <c r="H105" s="24" t="e">
        <f t="shared" si="11"/>
        <v>#DIV/0!</v>
      </c>
      <c r="I105" s="25">
        <f t="shared" si="15"/>
        <v>0</v>
      </c>
      <c r="J105" s="25" t="e">
        <f t="shared" si="13"/>
        <v>#DIV/0!</v>
      </c>
      <c r="K105" s="26" t="e">
        <f t="shared" si="14"/>
        <v>#DIV/0!</v>
      </c>
    </row>
    <row r="106" ht="12.75" spans="1:11">
      <c r="A106" s="21">
        <v>45501</v>
      </c>
      <c r="D106" s="29"/>
      <c r="E106" s="34" t="e">
        <f t="shared" si="9"/>
        <v>#DIV/0!</v>
      </c>
      <c r="F106" s="34" t="e">
        <f t="shared" si="10"/>
        <v>#DIV/0!</v>
      </c>
      <c r="G106" s="23" t="e">
        <f t="shared" si="12"/>
        <v>#DIV/0!</v>
      </c>
      <c r="H106" s="24" t="e">
        <f t="shared" si="11"/>
        <v>#DIV/0!</v>
      </c>
      <c r="I106" s="25">
        <f t="shared" si="15"/>
        <v>0</v>
      </c>
      <c r="J106" s="25" t="e">
        <f t="shared" si="13"/>
        <v>#DIV/0!</v>
      </c>
      <c r="K106" s="26" t="e">
        <f t="shared" si="14"/>
        <v>#DIV/0!</v>
      </c>
    </row>
    <row r="107" ht="12.75" spans="1:11">
      <c r="A107" s="21">
        <v>45502</v>
      </c>
      <c r="D107" s="29"/>
      <c r="E107" s="34" t="e">
        <f t="shared" si="9"/>
        <v>#DIV/0!</v>
      </c>
      <c r="F107" s="34" t="e">
        <f t="shared" si="10"/>
        <v>#DIV/0!</v>
      </c>
      <c r="G107" s="23" t="e">
        <f t="shared" si="12"/>
        <v>#DIV/0!</v>
      </c>
      <c r="H107" s="24" t="e">
        <f t="shared" si="11"/>
        <v>#DIV/0!</v>
      </c>
      <c r="I107" s="25">
        <f t="shared" si="15"/>
        <v>0</v>
      </c>
      <c r="J107" s="25" t="e">
        <f t="shared" si="13"/>
        <v>#DIV/0!</v>
      </c>
      <c r="K107" s="26" t="e">
        <f t="shared" si="14"/>
        <v>#DIV/0!</v>
      </c>
    </row>
    <row r="108" ht="12.75" spans="1:11">
      <c r="A108" s="21">
        <v>45503</v>
      </c>
      <c r="D108" s="29"/>
      <c r="E108" s="34" t="e">
        <f t="shared" si="9"/>
        <v>#DIV/0!</v>
      </c>
      <c r="F108" s="34" t="e">
        <f t="shared" si="10"/>
        <v>#DIV/0!</v>
      </c>
      <c r="G108" s="23" t="e">
        <f t="shared" si="12"/>
        <v>#DIV/0!</v>
      </c>
      <c r="H108" s="24" t="e">
        <f t="shared" si="11"/>
        <v>#DIV/0!</v>
      </c>
      <c r="I108" s="25">
        <f t="shared" si="15"/>
        <v>0</v>
      </c>
      <c r="J108" s="25" t="e">
        <f t="shared" si="13"/>
        <v>#DIV/0!</v>
      </c>
      <c r="K108" s="26" t="e">
        <f t="shared" si="14"/>
        <v>#DIV/0!</v>
      </c>
    </row>
    <row r="109" ht="12.75" spans="1:11">
      <c r="A109" s="21">
        <v>45504</v>
      </c>
      <c r="D109" s="29"/>
      <c r="E109" s="34" t="e">
        <f t="shared" si="9"/>
        <v>#DIV/0!</v>
      </c>
      <c r="F109" s="34" t="e">
        <f t="shared" si="10"/>
        <v>#DIV/0!</v>
      </c>
      <c r="G109" s="23" t="e">
        <f t="shared" si="12"/>
        <v>#DIV/0!</v>
      </c>
      <c r="H109" s="24" t="e">
        <f t="shared" si="11"/>
        <v>#DIV/0!</v>
      </c>
      <c r="I109" s="25">
        <f t="shared" si="15"/>
        <v>0</v>
      </c>
      <c r="J109" s="25" t="e">
        <f t="shared" si="13"/>
        <v>#DIV/0!</v>
      </c>
      <c r="K109" s="26" t="e">
        <f t="shared" si="14"/>
        <v>#DIV/0!</v>
      </c>
    </row>
    <row r="110" ht="12.75" spans="1:11">
      <c r="A110" s="21">
        <v>45505</v>
      </c>
      <c r="D110" s="29"/>
      <c r="E110" s="34" t="e">
        <f t="shared" si="9"/>
        <v>#DIV/0!</v>
      </c>
      <c r="F110" s="34" t="e">
        <f t="shared" si="10"/>
        <v>#DIV/0!</v>
      </c>
      <c r="G110" s="23" t="e">
        <f t="shared" si="12"/>
        <v>#DIV/0!</v>
      </c>
      <c r="H110" s="24" t="e">
        <f t="shared" si="11"/>
        <v>#DIV/0!</v>
      </c>
      <c r="I110" s="25">
        <f t="shared" si="15"/>
        <v>0</v>
      </c>
      <c r="J110" s="25" t="e">
        <f t="shared" si="13"/>
        <v>#DIV/0!</v>
      </c>
      <c r="K110" s="26" t="e">
        <f t="shared" si="14"/>
        <v>#DIV/0!</v>
      </c>
    </row>
    <row r="111" ht="12.75" spans="1:11">
      <c r="A111" s="21">
        <v>45506</v>
      </c>
      <c r="D111" s="29"/>
      <c r="E111" s="34" t="e">
        <f t="shared" si="9"/>
        <v>#DIV/0!</v>
      </c>
      <c r="F111" s="34" t="e">
        <f t="shared" si="10"/>
        <v>#DIV/0!</v>
      </c>
      <c r="G111" s="23" t="e">
        <f t="shared" si="12"/>
        <v>#DIV/0!</v>
      </c>
      <c r="H111" s="24" t="e">
        <f t="shared" si="11"/>
        <v>#DIV/0!</v>
      </c>
      <c r="I111" s="25">
        <f t="shared" si="15"/>
        <v>0</v>
      </c>
      <c r="J111" s="25" t="e">
        <f t="shared" si="13"/>
        <v>#DIV/0!</v>
      </c>
      <c r="K111" s="26" t="e">
        <f t="shared" si="14"/>
        <v>#DIV/0!</v>
      </c>
    </row>
    <row r="112" ht="12.75" spans="1:11">
      <c r="A112" s="21">
        <v>45507</v>
      </c>
      <c r="D112" s="29"/>
      <c r="E112" s="34" t="e">
        <f t="shared" si="9"/>
        <v>#DIV/0!</v>
      </c>
      <c r="F112" s="34" t="e">
        <f t="shared" si="10"/>
        <v>#DIV/0!</v>
      </c>
      <c r="G112" s="23" t="e">
        <f t="shared" si="12"/>
        <v>#DIV/0!</v>
      </c>
      <c r="H112" s="24" t="e">
        <f t="shared" si="11"/>
        <v>#DIV/0!</v>
      </c>
      <c r="I112" s="25">
        <f t="shared" si="15"/>
        <v>0</v>
      </c>
      <c r="J112" s="25" t="e">
        <f t="shared" si="13"/>
        <v>#DIV/0!</v>
      </c>
      <c r="K112" s="26" t="e">
        <f t="shared" si="14"/>
        <v>#DIV/0!</v>
      </c>
    </row>
    <row r="113" ht="12.75" spans="1:11">
      <c r="A113" s="21">
        <v>45508</v>
      </c>
      <c r="D113" s="29"/>
      <c r="E113" s="34" t="e">
        <f t="shared" si="9"/>
        <v>#DIV/0!</v>
      </c>
      <c r="F113" s="34" t="e">
        <f t="shared" si="10"/>
        <v>#DIV/0!</v>
      </c>
      <c r="G113" s="23" t="e">
        <f t="shared" si="12"/>
        <v>#DIV/0!</v>
      </c>
      <c r="H113" s="24" t="e">
        <f t="shared" si="11"/>
        <v>#DIV/0!</v>
      </c>
      <c r="I113" s="25">
        <f t="shared" si="15"/>
        <v>0</v>
      </c>
      <c r="J113" s="25" t="e">
        <f t="shared" si="13"/>
        <v>#DIV/0!</v>
      </c>
      <c r="K113" s="26" t="e">
        <f t="shared" si="14"/>
        <v>#DIV/0!</v>
      </c>
    </row>
    <row r="114" ht="12.75" spans="1:11">
      <c r="A114" s="21">
        <v>45509</v>
      </c>
      <c r="D114" s="29"/>
      <c r="E114" s="34" t="e">
        <f t="shared" si="9"/>
        <v>#DIV/0!</v>
      </c>
      <c r="F114" s="34" t="e">
        <f t="shared" si="10"/>
        <v>#DIV/0!</v>
      </c>
      <c r="G114" s="23" t="e">
        <f t="shared" si="12"/>
        <v>#DIV/0!</v>
      </c>
      <c r="H114" s="24" t="e">
        <f t="shared" si="11"/>
        <v>#DIV/0!</v>
      </c>
      <c r="I114" s="25">
        <f t="shared" si="15"/>
        <v>0</v>
      </c>
      <c r="J114" s="25" t="e">
        <f t="shared" si="13"/>
        <v>#DIV/0!</v>
      </c>
      <c r="K114" s="26" t="e">
        <f t="shared" si="14"/>
        <v>#DIV/0!</v>
      </c>
    </row>
    <row r="115" ht="12.75" spans="1:11">
      <c r="A115" s="21">
        <v>45510</v>
      </c>
      <c r="D115" s="29"/>
      <c r="E115" s="34" t="e">
        <f t="shared" si="9"/>
        <v>#DIV/0!</v>
      </c>
      <c r="F115" s="34" t="e">
        <f t="shared" si="10"/>
        <v>#DIV/0!</v>
      </c>
      <c r="G115" s="23" t="e">
        <f t="shared" si="12"/>
        <v>#DIV/0!</v>
      </c>
      <c r="H115" s="24" t="e">
        <f t="shared" si="11"/>
        <v>#DIV/0!</v>
      </c>
      <c r="I115" s="25">
        <f t="shared" si="15"/>
        <v>0</v>
      </c>
      <c r="J115" s="25" t="e">
        <f t="shared" si="13"/>
        <v>#DIV/0!</v>
      </c>
      <c r="K115" s="26" t="e">
        <f t="shared" si="14"/>
        <v>#DIV/0!</v>
      </c>
    </row>
    <row r="116" ht="12.75" spans="1:11">
      <c r="A116" s="21">
        <v>45511</v>
      </c>
      <c r="D116" s="29"/>
      <c r="E116" s="34" t="e">
        <f t="shared" si="9"/>
        <v>#DIV/0!</v>
      </c>
      <c r="F116" s="34" t="e">
        <f t="shared" si="10"/>
        <v>#DIV/0!</v>
      </c>
      <c r="G116" s="23" t="e">
        <f t="shared" si="12"/>
        <v>#DIV/0!</v>
      </c>
      <c r="H116" s="24" t="e">
        <f t="shared" si="11"/>
        <v>#DIV/0!</v>
      </c>
      <c r="I116" s="25">
        <f t="shared" si="15"/>
        <v>0</v>
      </c>
      <c r="J116" s="25" t="e">
        <f t="shared" si="13"/>
        <v>#DIV/0!</v>
      </c>
      <c r="K116" s="26" t="e">
        <f t="shared" si="14"/>
        <v>#DIV/0!</v>
      </c>
    </row>
    <row r="117" ht="12.75" spans="1:11">
      <c r="A117" s="21">
        <v>45512</v>
      </c>
      <c r="D117" s="29"/>
      <c r="E117" s="34" t="e">
        <f t="shared" si="9"/>
        <v>#DIV/0!</v>
      </c>
      <c r="F117" s="34" t="e">
        <f t="shared" si="10"/>
        <v>#DIV/0!</v>
      </c>
      <c r="G117" s="23" t="e">
        <f t="shared" si="12"/>
        <v>#DIV/0!</v>
      </c>
      <c r="H117" s="24" t="e">
        <f t="shared" si="11"/>
        <v>#DIV/0!</v>
      </c>
      <c r="I117" s="25">
        <f t="shared" si="15"/>
        <v>0</v>
      </c>
      <c r="J117" s="25" t="e">
        <f t="shared" si="13"/>
        <v>#DIV/0!</v>
      </c>
      <c r="K117" s="26" t="e">
        <f t="shared" si="14"/>
        <v>#DIV/0!</v>
      </c>
    </row>
    <row r="118" ht="12.75" spans="1:11">
      <c r="A118" s="21">
        <v>45513</v>
      </c>
      <c r="D118" s="29"/>
      <c r="E118" s="34" t="e">
        <f t="shared" si="9"/>
        <v>#DIV/0!</v>
      </c>
      <c r="F118" s="34" t="e">
        <f t="shared" si="10"/>
        <v>#DIV/0!</v>
      </c>
      <c r="G118" s="23" t="e">
        <f t="shared" si="12"/>
        <v>#DIV/0!</v>
      </c>
      <c r="H118" s="24" t="e">
        <f t="shared" si="11"/>
        <v>#DIV/0!</v>
      </c>
      <c r="I118" s="25">
        <f t="shared" si="15"/>
        <v>0</v>
      </c>
      <c r="J118" s="25" t="e">
        <f t="shared" si="13"/>
        <v>#DIV/0!</v>
      </c>
      <c r="K118" s="26" t="e">
        <f t="shared" si="14"/>
        <v>#DIV/0!</v>
      </c>
    </row>
    <row r="119" ht="12.75" spans="1:11">
      <c r="A119" s="21">
        <v>45514</v>
      </c>
      <c r="D119" s="29"/>
      <c r="E119" s="34" t="e">
        <f t="shared" si="9"/>
        <v>#DIV/0!</v>
      </c>
      <c r="F119" s="34" t="e">
        <f t="shared" si="10"/>
        <v>#DIV/0!</v>
      </c>
      <c r="G119" s="23" t="e">
        <f t="shared" si="12"/>
        <v>#DIV/0!</v>
      </c>
      <c r="H119" s="24" t="e">
        <f t="shared" si="11"/>
        <v>#DIV/0!</v>
      </c>
      <c r="I119" s="25">
        <f t="shared" si="15"/>
        <v>0</v>
      </c>
      <c r="J119" s="25" t="e">
        <f t="shared" si="13"/>
        <v>#DIV/0!</v>
      </c>
      <c r="K119" s="26" t="e">
        <f t="shared" si="14"/>
        <v>#DIV/0!</v>
      </c>
    </row>
    <row r="120" ht="12.75" spans="1:11">
      <c r="A120" s="21">
        <v>45515</v>
      </c>
      <c r="D120" s="29"/>
      <c r="E120" s="34" t="e">
        <f t="shared" si="9"/>
        <v>#DIV/0!</v>
      </c>
      <c r="F120" s="34" t="e">
        <f t="shared" si="10"/>
        <v>#DIV/0!</v>
      </c>
      <c r="G120" s="23" t="e">
        <f t="shared" si="12"/>
        <v>#DIV/0!</v>
      </c>
      <c r="H120" s="24" t="e">
        <f t="shared" si="11"/>
        <v>#DIV/0!</v>
      </c>
      <c r="I120" s="25">
        <f t="shared" si="15"/>
        <v>0</v>
      </c>
      <c r="J120" s="25" t="e">
        <f t="shared" si="13"/>
        <v>#DIV/0!</v>
      </c>
      <c r="K120" s="26" t="e">
        <f t="shared" si="14"/>
        <v>#DIV/0!</v>
      </c>
    </row>
    <row r="121" ht="12.75" spans="1:11">
      <c r="A121" s="21">
        <v>45516</v>
      </c>
      <c r="D121" s="29"/>
      <c r="E121" s="34" t="e">
        <f t="shared" si="9"/>
        <v>#DIV/0!</v>
      </c>
      <c r="F121" s="34" t="e">
        <f t="shared" si="10"/>
        <v>#DIV/0!</v>
      </c>
      <c r="G121" s="23" t="e">
        <f t="shared" si="12"/>
        <v>#DIV/0!</v>
      </c>
      <c r="H121" s="24" t="e">
        <f t="shared" si="11"/>
        <v>#DIV/0!</v>
      </c>
      <c r="I121" s="25">
        <f t="shared" si="15"/>
        <v>0</v>
      </c>
      <c r="J121" s="25" t="e">
        <f t="shared" si="13"/>
        <v>#DIV/0!</v>
      </c>
      <c r="K121" s="26" t="e">
        <f t="shared" si="14"/>
        <v>#DIV/0!</v>
      </c>
    </row>
    <row r="122" ht="12.75" spans="1:11">
      <c r="A122" s="21">
        <v>45517</v>
      </c>
      <c r="D122" s="29"/>
      <c r="E122" s="34" t="e">
        <f t="shared" si="9"/>
        <v>#DIV/0!</v>
      </c>
      <c r="F122" s="34" t="e">
        <f t="shared" si="10"/>
        <v>#DIV/0!</v>
      </c>
      <c r="G122" s="23" t="e">
        <f t="shared" si="12"/>
        <v>#DIV/0!</v>
      </c>
      <c r="H122" s="24" t="e">
        <f t="shared" si="11"/>
        <v>#DIV/0!</v>
      </c>
      <c r="I122" s="25">
        <f t="shared" si="15"/>
        <v>0</v>
      </c>
      <c r="J122" s="25" t="e">
        <f t="shared" si="13"/>
        <v>#DIV/0!</v>
      </c>
      <c r="K122" s="26" t="e">
        <f t="shared" si="14"/>
        <v>#DIV/0!</v>
      </c>
    </row>
    <row r="123" ht="12.75" spans="1:11">
      <c r="A123" s="21">
        <v>45518</v>
      </c>
      <c r="D123" s="29"/>
      <c r="E123" s="34" t="e">
        <f t="shared" si="9"/>
        <v>#DIV/0!</v>
      </c>
      <c r="F123" s="34" t="e">
        <f t="shared" si="10"/>
        <v>#DIV/0!</v>
      </c>
      <c r="G123" s="23" t="e">
        <f t="shared" si="12"/>
        <v>#DIV/0!</v>
      </c>
      <c r="H123" s="24" t="e">
        <f t="shared" si="11"/>
        <v>#DIV/0!</v>
      </c>
      <c r="I123" s="25">
        <f t="shared" si="15"/>
        <v>0</v>
      </c>
      <c r="J123" s="25" t="e">
        <f t="shared" si="13"/>
        <v>#DIV/0!</v>
      </c>
      <c r="K123" s="26" t="e">
        <f t="shared" si="14"/>
        <v>#DIV/0!</v>
      </c>
    </row>
    <row r="124" ht="12.75" spans="1:11">
      <c r="A124" s="21">
        <v>45519</v>
      </c>
      <c r="D124" s="29"/>
      <c r="E124" s="34" t="e">
        <f t="shared" si="9"/>
        <v>#DIV/0!</v>
      </c>
      <c r="F124" s="34" t="e">
        <f t="shared" si="10"/>
        <v>#DIV/0!</v>
      </c>
      <c r="G124" s="23" t="e">
        <f t="shared" si="12"/>
        <v>#DIV/0!</v>
      </c>
      <c r="H124" s="24" t="e">
        <f t="shared" si="11"/>
        <v>#DIV/0!</v>
      </c>
      <c r="I124" s="25">
        <f t="shared" si="15"/>
        <v>0</v>
      </c>
      <c r="J124" s="25" t="e">
        <f t="shared" si="13"/>
        <v>#DIV/0!</v>
      </c>
      <c r="K124" s="26" t="e">
        <f t="shared" si="14"/>
        <v>#DIV/0!</v>
      </c>
    </row>
    <row r="125" ht="12.75" spans="1:11">
      <c r="A125" s="21">
        <v>45520</v>
      </c>
      <c r="D125" s="29"/>
      <c r="E125" s="34" t="e">
        <f t="shared" si="9"/>
        <v>#DIV/0!</v>
      </c>
      <c r="F125" s="34" t="e">
        <f t="shared" si="10"/>
        <v>#DIV/0!</v>
      </c>
      <c r="G125" s="23" t="e">
        <f t="shared" si="12"/>
        <v>#DIV/0!</v>
      </c>
      <c r="H125" s="24" t="e">
        <f t="shared" si="11"/>
        <v>#DIV/0!</v>
      </c>
      <c r="I125" s="25">
        <f t="shared" si="15"/>
        <v>0</v>
      </c>
      <c r="J125" s="25" t="e">
        <f t="shared" si="13"/>
        <v>#DIV/0!</v>
      </c>
      <c r="K125" s="26" t="e">
        <f t="shared" si="14"/>
        <v>#DIV/0!</v>
      </c>
    </row>
    <row r="126" ht="12.75" spans="1:11">
      <c r="A126" s="21">
        <v>45521</v>
      </c>
      <c r="D126" s="29"/>
      <c r="E126" s="34" t="e">
        <f t="shared" si="9"/>
        <v>#DIV/0!</v>
      </c>
      <c r="F126" s="34" t="e">
        <f t="shared" si="10"/>
        <v>#DIV/0!</v>
      </c>
      <c r="G126" s="23" t="e">
        <f t="shared" si="12"/>
        <v>#DIV/0!</v>
      </c>
      <c r="H126" s="24" t="e">
        <f t="shared" si="11"/>
        <v>#DIV/0!</v>
      </c>
      <c r="I126" s="25">
        <f t="shared" si="15"/>
        <v>0</v>
      </c>
      <c r="J126" s="25" t="e">
        <f t="shared" si="13"/>
        <v>#DIV/0!</v>
      </c>
      <c r="K126" s="26" t="e">
        <f t="shared" si="14"/>
        <v>#DIV/0!</v>
      </c>
    </row>
    <row r="127" ht="12.75" spans="1:11">
      <c r="A127" s="21">
        <v>45522</v>
      </c>
      <c r="D127" s="29"/>
      <c r="E127" s="34" t="e">
        <f t="shared" si="9"/>
        <v>#DIV/0!</v>
      </c>
      <c r="F127" s="34" t="e">
        <f t="shared" si="10"/>
        <v>#DIV/0!</v>
      </c>
      <c r="G127" s="23" t="e">
        <f t="shared" si="12"/>
        <v>#DIV/0!</v>
      </c>
      <c r="H127" s="24" t="e">
        <f t="shared" si="11"/>
        <v>#DIV/0!</v>
      </c>
      <c r="I127" s="25">
        <f t="shared" si="15"/>
        <v>0</v>
      </c>
      <c r="J127" s="25" t="e">
        <f t="shared" si="13"/>
        <v>#DIV/0!</v>
      </c>
      <c r="K127" s="26" t="e">
        <f t="shared" si="14"/>
        <v>#DIV/0!</v>
      </c>
    </row>
    <row r="128" ht="12.75" spans="1:11">
      <c r="A128" s="21">
        <v>45523</v>
      </c>
      <c r="D128" s="29"/>
      <c r="E128" s="34" t="e">
        <f t="shared" si="9"/>
        <v>#DIV/0!</v>
      </c>
      <c r="F128" s="34" t="e">
        <f t="shared" si="10"/>
        <v>#DIV/0!</v>
      </c>
      <c r="G128" s="23" t="e">
        <f t="shared" si="12"/>
        <v>#DIV/0!</v>
      </c>
      <c r="H128" s="24" t="e">
        <f t="shared" si="11"/>
        <v>#DIV/0!</v>
      </c>
      <c r="I128" s="25">
        <f t="shared" si="15"/>
        <v>0</v>
      </c>
      <c r="J128" s="25" t="e">
        <f t="shared" si="13"/>
        <v>#DIV/0!</v>
      </c>
      <c r="K128" s="26" t="e">
        <f t="shared" si="14"/>
        <v>#DIV/0!</v>
      </c>
    </row>
    <row r="129" ht="12.75" spans="1:11">
      <c r="A129" s="21">
        <v>45524</v>
      </c>
      <c r="D129" s="29"/>
      <c r="E129" s="34" t="e">
        <f t="shared" si="9"/>
        <v>#DIV/0!</v>
      </c>
      <c r="F129" s="34" t="e">
        <f t="shared" si="10"/>
        <v>#DIV/0!</v>
      </c>
      <c r="G129" s="23" t="e">
        <f t="shared" si="12"/>
        <v>#DIV/0!</v>
      </c>
      <c r="H129" s="24" t="e">
        <f t="shared" si="11"/>
        <v>#DIV/0!</v>
      </c>
      <c r="I129" s="25">
        <f t="shared" si="15"/>
        <v>0</v>
      </c>
      <c r="J129" s="25" t="e">
        <f t="shared" si="13"/>
        <v>#DIV/0!</v>
      </c>
      <c r="K129" s="26" t="e">
        <f t="shared" si="14"/>
        <v>#DIV/0!</v>
      </c>
    </row>
    <row r="130" ht="12.75" spans="1:11">
      <c r="A130" s="21">
        <v>45525</v>
      </c>
      <c r="D130" s="29"/>
      <c r="E130" s="34" t="e">
        <f t="shared" ref="E130:E193" si="16">(D130*0.8)*182.5/C130</f>
        <v>#DIV/0!</v>
      </c>
      <c r="F130" s="34" t="e">
        <f t="shared" ref="F130:F193" si="17">(D130*0.8)*267/C130</f>
        <v>#DIV/0!</v>
      </c>
      <c r="G130" s="23" t="e">
        <f t="shared" si="12"/>
        <v>#DIV/0!</v>
      </c>
      <c r="H130" s="24" t="e">
        <f t="shared" ref="H130:H193" si="18">D130/B130</f>
        <v>#DIV/0!</v>
      </c>
      <c r="I130" s="25">
        <f t="shared" si="15"/>
        <v>0</v>
      </c>
      <c r="J130" s="25" t="e">
        <f t="shared" si="13"/>
        <v>#DIV/0!</v>
      </c>
      <c r="K130" s="26" t="e">
        <f t="shared" si="14"/>
        <v>#DIV/0!</v>
      </c>
    </row>
    <row r="131" ht="12.75" spans="1:11">
      <c r="A131" s="21">
        <v>45526</v>
      </c>
      <c r="D131" s="29"/>
      <c r="E131" s="34" t="e">
        <f t="shared" si="16"/>
        <v>#DIV/0!</v>
      </c>
      <c r="F131" s="34" t="e">
        <f t="shared" si="17"/>
        <v>#DIV/0!</v>
      </c>
      <c r="G131" s="23" t="e">
        <f t="shared" ref="G131:G194" si="19">E131*0.8+F131*0.2</f>
        <v>#DIV/0!</v>
      </c>
      <c r="H131" s="24" t="e">
        <f t="shared" si="18"/>
        <v>#DIV/0!</v>
      </c>
      <c r="I131" s="25">
        <f t="shared" si="15"/>
        <v>0</v>
      </c>
      <c r="J131" s="25" t="e">
        <f t="shared" si="13"/>
        <v>#DIV/0!</v>
      </c>
      <c r="K131" s="26" t="e">
        <f t="shared" si="14"/>
        <v>#DIV/0!</v>
      </c>
    </row>
    <row r="132" ht="12.75" spans="1:11">
      <c r="A132" s="21">
        <v>45527</v>
      </c>
      <c r="D132" s="29"/>
      <c r="E132" s="34" t="e">
        <f t="shared" si="16"/>
        <v>#DIV/0!</v>
      </c>
      <c r="F132" s="34" t="e">
        <f t="shared" si="17"/>
        <v>#DIV/0!</v>
      </c>
      <c r="G132" s="23" t="e">
        <f t="shared" si="19"/>
        <v>#DIV/0!</v>
      </c>
      <c r="H132" s="24" t="e">
        <f t="shared" si="18"/>
        <v>#DIV/0!</v>
      </c>
      <c r="I132" s="25">
        <f t="shared" si="15"/>
        <v>0</v>
      </c>
      <c r="J132" s="25" t="e">
        <f t="shared" si="13"/>
        <v>#DIV/0!</v>
      </c>
      <c r="K132" s="26" t="e">
        <f t="shared" si="14"/>
        <v>#DIV/0!</v>
      </c>
    </row>
    <row r="133" ht="12.75" spans="1:11">
      <c r="A133" s="21">
        <v>45528</v>
      </c>
      <c r="D133" s="29"/>
      <c r="E133" s="34" t="e">
        <f t="shared" si="16"/>
        <v>#DIV/0!</v>
      </c>
      <c r="F133" s="34" t="e">
        <f t="shared" si="17"/>
        <v>#DIV/0!</v>
      </c>
      <c r="G133" s="23" t="e">
        <f t="shared" si="19"/>
        <v>#DIV/0!</v>
      </c>
      <c r="H133" s="24" t="e">
        <f t="shared" si="18"/>
        <v>#DIV/0!</v>
      </c>
      <c r="I133" s="25">
        <f t="shared" si="15"/>
        <v>0</v>
      </c>
      <c r="J133" s="25" t="e">
        <f t="shared" si="13"/>
        <v>#DIV/0!</v>
      </c>
      <c r="K133" s="26" t="e">
        <f t="shared" si="14"/>
        <v>#DIV/0!</v>
      </c>
    </row>
    <row r="134" ht="12.75" spans="1:11">
      <c r="A134" s="21">
        <v>45529</v>
      </c>
      <c r="D134" s="29"/>
      <c r="E134" s="34" t="e">
        <f t="shared" si="16"/>
        <v>#DIV/0!</v>
      </c>
      <c r="F134" s="34" t="e">
        <f t="shared" si="17"/>
        <v>#DIV/0!</v>
      </c>
      <c r="G134" s="23" t="e">
        <f t="shared" si="19"/>
        <v>#DIV/0!</v>
      </c>
      <c r="H134" s="24" t="e">
        <f t="shared" si="18"/>
        <v>#DIV/0!</v>
      </c>
      <c r="I134" s="25">
        <f t="shared" si="15"/>
        <v>0</v>
      </c>
      <c r="J134" s="25" t="e">
        <f t="shared" si="13"/>
        <v>#DIV/0!</v>
      </c>
      <c r="K134" s="26" t="e">
        <f t="shared" si="14"/>
        <v>#DIV/0!</v>
      </c>
    </row>
    <row r="135" ht="12.75" spans="1:11">
      <c r="A135" s="21">
        <v>45530</v>
      </c>
      <c r="D135" s="29"/>
      <c r="E135" s="34" t="e">
        <f t="shared" si="16"/>
        <v>#DIV/0!</v>
      </c>
      <c r="F135" s="34" t="e">
        <f t="shared" si="17"/>
        <v>#DIV/0!</v>
      </c>
      <c r="G135" s="23" t="e">
        <f t="shared" si="19"/>
        <v>#DIV/0!</v>
      </c>
      <c r="H135" s="24" t="e">
        <f t="shared" si="18"/>
        <v>#DIV/0!</v>
      </c>
      <c r="I135" s="25">
        <f t="shared" si="15"/>
        <v>0</v>
      </c>
      <c r="J135" s="25" t="e">
        <f t="shared" si="13"/>
        <v>#DIV/0!</v>
      </c>
      <c r="K135" s="26" t="e">
        <f t="shared" si="14"/>
        <v>#DIV/0!</v>
      </c>
    </row>
    <row r="136" ht="12.75" spans="1:11">
      <c r="A136" s="21">
        <v>45531</v>
      </c>
      <c r="D136" s="29"/>
      <c r="E136" s="34" t="e">
        <f t="shared" si="16"/>
        <v>#DIV/0!</v>
      </c>
      <c r="F136" s="34" t="e">
        <f t="shared" si="17"/>
        <v>#DIV/0!</v>
      </c>
      <c r="G136" s="23" t="e">
        <f t="shared" si="19"/>
        <v>#DIV/0!</v>
      </c>
      <c r="H136" s="24" t="e">
        <f t="shared" si="18"/>
        <v>#DIV/0!</v>
      </c>
      <c r="I136" s="25">
        <f t="shared" si="15"/>
        <v>0</v>
      </c>
      <c r="J136" s="25" t="e">
        <f t="shared" si="13"/>
        <v>#DIV/0!</v>
      </c>
      <c r="K136" s="26" t="e">
        <f t="shared" si="14"/>
        <v>#DIV/0!</v>
      </c>
    </row>
    <row r="137" ht="12.75" spans="1:11">
      <c r="A137" s="21">
        <v>45532</v>
      </c>
      <c r="D137" s="29"/>
      <c r="E137" s="34" t="e">
        <f t="shared" si="16"/>
        <v>#DIV/0!</v>
      </c>
      <c r="F137" s="34" t="e">
        <f t="shared" si="17"/>
        <v>#DIV/0!</v>
      </c>
      <c r="G137" s="23" t="e">
        <f t="shared" si="19"/>
        <v>#DIV/0!</v>
      </c>
      <c r="H137" s="24" t="e">
        <f t="shared" si="18"/>
        <v>#DIV/0!</v>
      </c>
      <c r="I137" s="25">
        <f t="shared" si="15"/>
        <v>0</v>
      </c>
      <c r="J137" s="25" t="e">
        <f t="shared" si="13"/>
        <v>#DIV/0!</v>
      </c>
      <c r="K137" s="26" t="e">
        <f t="shared" si="14"/>
        <v>#DIV/0!</v>
      </c>
    </row>
    <row r="138" ht="12.75" spans="1:11">
      <c r="A138" s="21">
        <v>45533</v>
      </c>
      <c r="D138" s="29"/>
      <c r="E138" s="34" t="e">
        <f t="shared" si="16"/>
        <v>#DIV/0!</v>
      </c>
      <c r="F138" s="34" t="e">
        <f t="shared" si="17"/>
        <v>#DIV/0!</v>
      </c>
      <c r="G138" s="23" t="e">
        <f t="shared" si="19"/>
        <v>#DIV/0!</v>
      </c>
      <c r="H138" s="24" t="e">
        <f t="shared" si="18"/>
        <v>#DIV/0!</v>
      </c>
      <c r="I138" s="25">
        <f t="shared" si="15"/>
        <v>0</v>
      </c>
      <c r="J138" s="25" t="e">
        <f t="shared" si="13"/>
        <v>#DIV/0!</v>
      </c>
      <c r="K138" s="26" t="e">
        <f t="shared" si="14"/>
        <v>#DIV/0!</v>
      </c>
    </row>
    <row r="139" ht="12.75" spans="1:11">
      <c r="A139" s="21">
        <v>45534</v>
      </c>
      <c r="D139" s="29"/>
      <c r="E139" s="34" t="e">
        <f t="shared" si="16"/>
        <v>#DIV/0!</v>
      </c>
      <c r="F139" s="34" t="e">
        <f t="shared" si="17"/>
        <v>#DIV/0!</v>
      </c>
      <c r="G139" s="23" t="e">
        <f t="shared" si="19"/>
        <v>#DIV/0!</v>
      </c>
      <c r="H139" s="24" t="e">
        <f t="shared" si="18"/>
        <v>#DIV/0!</v>
      </c>
      <c r="I139" s="25">
        <f t="shared" si="15"/>
        <v>0</v>
      </c>
      <c r="J139" s="25" t="e">
        <f t="shared" si="13"/>
        <v>#DIV/0!</v>
      </c>
      <c r="K139" s="26" t="e">
        <f t="shared" si="14"/>
        <v>#DIV/0!</v>
      </c>
    </row>
    <row r="140" ht="12.75" spans="1:11">
      <c r="A140" s="21">
        <v>45535</v>
      </c>
      <c r="D140" s="29"/>
      <c r="E140" s="34" t="e">
        <f t="shared" si="16"/>
        <v>#DIV/0!</v>
      </c>
      <c r="F140" s="34" t="e">
        <f t="shared" si="17"/>
        <v>#DIV/0!</v>
      </c>
      <c r="G140" s="23" t="e">
        <f t="shared" si="19"/>
        <v>#DIV/0!</v>
      </c>
      <c r="H140" s="24" t="e">
        <f t="shared" si="18"/>
        <v>#DIV/0!</v>
      </c>
      <c r="I140" s="25">
        <f t="shared" si="15"/>
        <v>0</v>
      </c>
      <c r="J140" s="25" t="e">
        <f t="shared" si="13"/>
        <v>#DIV/0!</v>
      </c>
      <c r="K140" s="26" t="e">
        <f t="shared" si="14"/>
        <v>#DIV/0!</v>
      </c>
    </row>
    <row r="141" ht="12.75" spans="1:11">
      <c r="A141" s="21">
        <v>45536</v>
      </c>
      <c r="D141" s="29"/>
      <c r="E141" s="34" t="e">
        <f t="shared" si="16"/>
        <v>#DIV/0!</v>
      </c>
      <c r="F141" s="34" t="e">
        <f t="shared" si="17"/>
        <v>#DIV/0!</v>
      </c>
      <c r="G141" s="23" t="e">
        <f t="shared" si="19"/>
        <v>#DIV/0!</v>
      </c>
      <c r="H141" s="24" t="e">
        <f t="shared" si="18"/>
        <v>#DIV/0!</v>
      </c>
      <c r="I141" s="25">
        <f t="shared" si="15"/>
        <v>0</v>
      </c>
      <c r="J141" s="25" t="e">
        <f t="shared" si="13"/>
        <v>#DIV/0!</v>
      </c>
      <c r="K141" s="26" t="e">
        <f t="shared" si="14"/>
        <v>#DIV/0!</v>
      </c>
    </row>
    <row r="142" ht="12.75" spans="1:11">
      <c r="A142" s="21">
        <v>45537</v>
      </c>
      <c r="D142" s="29"/>
      <c r="E142" s="34" t="e">
        <f t="shared" si="16"/>
        <v>#DIV/0!</v>
      </c>
      <c r="F142" s="34" t="e">
        <f t="shared" si="17"/>
        <v>#DIV/0!</v>
      </c>
      <c r="G142" s="23" t="e">
        <f t="shared" si="19"/>
        <v>#DIV/0!</v>
      </c>
      <c r="H142" s="24" t="e">
        <f t="shared" si="18"/>
        <v>#DIV/0!</v>
      </c>
      <c r="I142" s="25">
        <f t="shared" si="15"/>
        <v>0</v>
      </c>
      <c r="J142" s="25" t="e">
        <f t="shared" si="13"/>
        <v>#DIV/0!</v>
      </c>
      <c r="K142" s="26" t="e">
        <f t="shared" si="14"/>
        <v>#DIV/0!</v>
      </c>
    </row>
    <row r="143" ht="12.75" spans="1:11">
      <c r="A143" s="21">
        <v>45538</v>
      </c>
      <c r="D143" s="29"/>
      <c r="E143" s="34" t="e">
        <f t="shared" si="16"/>
        <v>#DIV/0!</v>
      </c>
      <c r="F143" s="34" t="e">
        <f t="shared" si="17"/>
        <v>#DIV/0!</v>
      </c>
      <c r="G143" s="23" t="e">
        <f t="shared" si="19"/>
        <v>#DIV/0!</v>
      </c>
      <c r="H143" s="24" t="e">
        <f t="shared" si="18"/>
        <v>#DIV/0!</v>
      </c>
      <c r="I143" s="25">
        <f t="shared" si="15"/>
        <v>0</v>
      </c>
      <c r="J143" s="25" t="e">
        <f t="shared" si="13"/>
        <v>#DIV/0!</v>
      </c>
      <c r="K143" s="26" t="e">
        <f t="shared" si="14"/>
        <v>#DIV/0!</v>
      </c>
    </row>
    <row r="144" ht="12.75" spans="1:11">
      <c r="A144" s="21">
        <v>45539</v>
      </c>
      <c r="D144" s="29"/>
      <c r="E144" s="34" t="e">
        <f t="shared" si="16"/>
        <v>#DIV/0!</v>
      </c>
      <c r="F144" s="34" t="e">
        <f t="shared" si="17"/>
        <v>#DIV/0!</v>
      </c>
      <c r="G144" s="23" t="e">
        <f t="shared" si="19"/>
        <v>#DIV/0!</v>
      </c>
      <c r="H144" s="24" t="e">
        <f t="shared" si="18"/>
        <v>#DIV/0!</v>
      </c>
      <c r="I144" s="25">
        <f t="shared" si="15"/>
        <v>0</v>
      </c>
      <c r="J144" s="25" t="e">
        <f t="shared" ref="J144:J194" si="20">C144/(B144/I144)</f>
        <v>#DIV/0!</v>
      </c>
      <c r="K144" s="26" t="e">
        <f t="shared" ref="K144:K194" si="21">(J144-1200000)/1200000</f>
        <v>#DIV/0!</v>
      </c>
    </row>
    <row r="145" ht="12.75" spans="1:11">
      <c r="A145" s="21">
        <v>45540</v>
      </c>
      <c r="D145" s="29"/>
      <c r="E145" s="34" t="e">
        <f t="shared" si="16"/>
        <v>#DIV/0!</v>
      </c>
      <c r="F145" s="34" t="e">
        <f t="shared" si="17"/>
        <v>#DIV/0!</v>
      </c>
      <c r="G145" s="23" t="e">
        <f t="shared" si="19"/>
        <v>#DIV/0!</v>
      </c>
      <c r="H145" s="24" t="e">
        <f t="shared" si="18"/>
        <v>#DIV/0!</v>
      </c>
      <c r="I145" s="25">
        <f t="shared" ref="I145:I194" si="22">L145+M145+B145+N145</f>
        <v>0</v>
      </c>
      <c r="J145" s="25" t="e">
        <f t="shared" si="20"/>
        <v>#DIV/0!</v>
      </c>
      <c r="K145" s="26" t="e">
        <f t="shared" si="21"/>
        <v>#DIV/0!</v>
      </c>
    </row>
    <row r="146" ht="12.75" spans="1:11">
      <c r="A146" s="21">
        <v>45541</v>
      </c>
      <c r="D146" s="29"/>
      <c r="E146" s="34" t="e">
        <f t="shared" si="16"/>
        <v>#DIV/0!</v>
      </c>
      <c r="F146" s="34" t="e">
        <f t="shared" si="17"/>
        <v>#DIV/0!</v>
      </c>
      <c r="G146" s="23" t="e">
        <f t="shared" si="19"/>
        <v>#DIV/0!</v>
      </c>
      <c r="H146" s="24" t="e">
        <f t="shared" si="18"/>
        <v>#DIV/0!</v>
      </c>
      <c r="I146" s="25">
        <f t="shared" si="22"/>
        <v>0</v>
      </c>
      <c r="J146" s="25" t="e">
        <f t="shared" si="20"/>
        <v>#DIV/0!</v>
      </c>
      <c r="K146" s="26" t="e">
        <f t="shared" si="21"/>
        <v>#DIV/0!</v>
      </c>
    </row>
    <row r="147" ht="12.75" spans="1:11">
      <c r="A147" s="21">
        <v>45542</v>
      </c>
      <c r="D147" s="29"/>
      <c r="E147" s="34" t="e">
        <f t="shared" si="16"/>
        <v>#DIV/0!</v>
      </c>
      <c r="F147" s="34" t="e">
        <f t="shared" si="17"/>
        <v>#DIV/0!</v>
      </c>
      <c r="G147" s="23" t="e">
        <f t="shared" si="19"/>
        <v>#DIV/0!</v>
      </c>
      <c r="H147" s="24" t="e">
        <f t="shared" si="18"/>
        <v>#DIV/0!</v>
      </c>
      <c r="I147" s="25">
        <f t="shared" si="22"/>
        <v>0</v>
      </c>
      <c r="J147" s="25" t="e">
        <f t="shared" si="20"/>
        <v>#DIV/0!</v>
      </c>
      <c r="K147" s="26" t="e">
        <f t="shared" si="21"/>
        <v>#DIV/0!</v>
      </c>
    </row>
    <row r="148" ht="12.75" spans="1:11">
      <c r="A148" s="21">
        <v>45543</v>
      </c>
      <c r="D148" s="29"/>
      <c r="E148" s="34" t="e">
        <f t="shared" si="16"/>
        <v>#DIV/0!</v>
      </c>
      <c r="F148" s="34" t="e">
        <f t="shared" si="17"/>
        <v>#DIV/0!</v>
      </c>
      <c r="G148" s="23" t="e">
        <f t="shared" si="19"/>
        <v>#DIV/0!</v>
      </c>
      <c r="H148" s="24" t="e">
        <f t="shared" si="18"/>
        <v>#DIV/0!</v>
      </c>
      <c r="I148" s="25">
        <f t="shared" si="22"/>
        <v>0</v>
      </c>
      <c r="J148" s="25" t="e">
        <f t="shared" si="20"/>
        <v>#DIV/0!</v>
      </c>
      <c r="K148" s="26" t="e">
        <f t="shared" si="21"/>
        <v>#DIV/0!</v>
      </c>
    </row>
    <row r="149" ht="12.75" spans="1:11">
      <c r="A149" s="21">
        <v>45544</v>
      </c>
      <c r="D149" s="29"/>
      <c r="E149" s="34" t="e">
        <f t="shared" si="16"/>
        <v>#DIV/0!</v>
      </c>
      <c r="F149" s="34" t="e">
        <f t="shared" si="17"/>
        <v>#DIV/0!</v>
      </c>
      <c r="G149" s="23" t="e">
        <f t="shared" si="19"/>
        <v>#DIV/0!</v>
      </c>
      <c r="H149" s="24" t="e">
        <f t="shared" si="18"/>
        <v>#DIV/0!</v>
      </c>
      <c r="I149" s="25">
        <f t="shared" si="22"/>
        <v>0</v>
      </c>
      <c r="J149" s="25" t="e">
        <f t="shared" si="20"/>
        <v>#DIV/0!</v>
      </c>
      <c r="K149" s="26" t="e">
        <f t="shared" si="21"/>
        <v>#DIV/0!</v>
      </c>
    </row>
    <row r="150" ht="12.75" spans="1:11">
      <c r="A150" s="21">
        <v>45545</v>
      </c>
      <c r="D150" s="29"/>
      <c r="E150" s="34" t="e">
        <f t="shared" si="16"/>
        <v>#DIV/0!</v>
      </c>
      <c r="F150" s="34" t="e">
        <f t="shared" si="17"/>
        <v>#DIV/0!</v>
      </c>
      <c r="G150" s="23" t="e">
        <f t="shared" si="19"/>
        <v>#DIV/0!</v>
      </c>
      <c r="H150" s="24" t="e">
        <f t="shared" si="18"/>
        <v>#DIV/0!</v>
      </c>
      <c r="I150" s="25">
        <f t="shared" si="22"/>
        <v>0</v>
      </c>
      <c r="J150" s="25" t="e">
        <f t="shared" si="20"/>
        <v>#DIV/0!</v>
      </c>
      <c r="K150" s="26" t="e">
        <f t="shared" si="21"/>
        <v>#DIV/0!</v>
      </c>
    </row>
    <row r="151" ht="12.75" spans="1:11">
      <c r="A151" s="21">
        <v>45546</v>
      </c>
      <c r="D151" s="29"/>
      <c r="E151" s="34" t="e">
        <f t="shared" si="16"/>
        <v>#DIV/0!</v>
      </c>
      <c r="F151" s="34" t="e">
        <f t="shared" si="17"/>
        <v>#DIV/0!</v>
      </c>
      <c r="G151" s="23" t="e">
        <f t="shared" si="19"/>
        <v>#DIV/0!</v>
      </c>
      <c r="H151" s="24" t="e">
        <f t="shared" si="18"/>
        <v>#DIV/0!</v>
      </c>
      <c r="I151" s="25">
        <f t="shared" si="22"/>
        <v>0</v>
      </c>
      <c r="J151" s="25" t="e">
        <f t="shared" si="20"/>
        <v>#DIV/0!</v>
      </c>
      <c r="K151" s="26" t="e">
        <f t="shared" si="21"/>
        <v>#DIV/0!</v>
      </c>
    </row>
    <row r="152" ht="12.75" spans="1:11">
      <c r="A152" s="21">
        <v>45547</v>
      </c>
      <c r="D152" s="29"/>
      <c r="E152" s="34" t="e">
        <f t="shared" si="16"/>
        <v>#DIV/0!</v>
      </c>
      <c r="F152" s="34" t="e">
        <f t="shared" si="17"/>
        <v>#DIV/0!</v>
      </c>
      <c r="G152" s="23" t="e">
        <f t="shared" si="19"/>
        <v>#DIV/0!</v>
      </c>
      <c r="H152" s="24" t="e">
        <f t="shared" si="18"/>
        <v>#DIV/0!</v>
      </c>
      <c r="I152" s="25">
        <f t="shared" si="22"/>
        <v>0</v>
      </c>
      <c r="J152" s="25" t="e">
        <f t="shared" si="20"/>
        <v>#DIV/0!</v>
      </c>
      <c r="K152" s="26" t="e">
        <f t="shared" si="21"/>
        <v>#DIV/0!</v>
      </c>
    </row>
    <row r="153" ht="12.75" spans="1:11">
      <c r="A153" s="21">
        <v>45548</v>
      </c>
      <c r="D153" s="29"/>
      <c r="E153" s="34" t="e">
        <f t="shared" si="16"/>
        <v>#DIV/0!</v>
      </c>
      <c r="F153" s="34" t="e">
        <f t="shared" si="17"/>
        <v>#DIV/0!</v>
      </c>
      <c r="G153" s="23" t="e">
        <f t="shared" si="19"/>
        <v>#DIV/0!</v>
      </c>
      <c r="H153" s="24" t="e">
        <f t="shared" si="18"/>
        <v>#DIV/0!</v>
      </c>
      <c r="I153" s="25">
        <f t="shared" si="22"/>
        <v>0</v>
      </c>
      <c r="J153" s="25" t="e">
        <f t="shared" si="20"/>
        <v>#DIV/0!</v>
      </c>
      <c r="K153" s="26" t="e">
        <f t="shared" si="21"/>
        <v>#DIV/0!</v>
      </c>
    </row>
    <row r="154" ht="12.75" spans="1:11">
      <c r="A154" s="21">
        <v>45549</v>
      </c>
      <c r="D154" s="29"/>
      <c r="E154" s="34" t="e">
        <f t="shared" si="16"/>
        <v>#DIV/0!</v>
      </c>
      <c r="F154" s="34" t="e">
        <f t="shared" si="17"/>
        <v>#DIV/0!</v>
      </c>
      <c r="G154" s="23" t="e">
        <f t="shared" si="19"/>
        <v>#DIV/0!</v>
      </c>
      <c r="H154" s="24" t="e">
        <f t="shared" si="18"/>
        <v>#DIV/0!</v>
      </c>
      <c r="I154" s="25">
        <f t="shared" si="22"/>
        <v>0</v>
      </c>
      <c r="J154" s="25" t="e">
        <f t="shared" si="20"/>
        <v>#DIV/0!</v>
      </c>
      <c r="K154" s="26" t="e">
        <f t="shared" si="21"/>
        <v>#DIV/0!</v>
      </c>
    </row>
    <row r="155" ht="12.75" spans="1:11">
      <c r="A155" s="21">
        <v>45550</v>
      </c>
      <c r="D155" s="29"/>
      <c r="E155" s="34" t="e">
        <f t="shared" si="16"/>
        <v>#DIV/0!</v>
      </c>
      <c r="F155" s="34" t="e">
        <f t="shared" si="17"/>
        <v>#DIV/0!</v>
      </c>
      <c r="G155" s="23" t="e">
        <f t="shared" si="19"/>
        <v>#DIV/0!</v>
      </c>
      <c r="H155" s="24" t="e">
        <f t="shared" si="18"/>
        <v>#DIV/0!</v>
      </c>
      <c r="I155" s="25">
        <f t="shared" si="22"/>
        <v>0</v>
      </c>
      <c r="J155" s="25" t="e">
        <f t="shared" si="20"/>
        <v>#DIV/0!</v>
      </c>
      <c r="K155" s="26" t="e">
        <f t="shared" si="21"/>
        <v>#DIV/0!</v>
      </c>
    </row>
    <row r="156" ht="12.75" spans="1:11">
      <c r="A156" s="21">
        <v>45551</v>
      </c>
      <c r="D156" s="29"/>
      <c r="E156" s="34" t="e">
        <f t="shared" si="16"/>
        <v>#DIV/0!</v>
      </c>
      <c r="F156" s="34" t="e">
        <f t="shared" si="17"/>
        <v>#DIV/0!</v>
      </c>
      <c r="G156" s="23" t="e">
        <f t="shared" si="19"/>
        <v>#DIV/0!</v>
      </c>
      <c r="H156" s="24" t="e">
        <f t="shared" si="18"/>
        <v>#DIV/0!</v>
      </c>
      <c r="I156" s="25">
        <f t="shared" si="22"/>
        <v>0</v>
      </c>
      <c r="J156" s="25" t="e">
        <f t="shared" si="20"/>
        <v>#DIV/0!</v>
      </c>
      <c r="K156" s="26" t="e">
        <f t="shared" si="21"/>
        <v>#DIV/0!</v>
      </c>
    </row>
    <row r="157" ht="12.75" spans="1:11">
      <c r="D157" s="29"/>
      <c r="E157" s="34" t="e">
        <f t="shared" si="16"/>
        <v>#DIV/0!</v>
      </c>
      <c r="F157" s="34" t="e">
        <f t="shared" si="17"/>
        <v>#DIV/0!</v>
      </c>
      <c r="G157" s="23" t="e">
        <f t="shared" si="19"/>
        <v>#DIV/0!</v>
      </c>
      <c r="H157" s="24" t="e">
        <f t="shared" si="18"/>
        <v>#DIV/0!</v>
      </c>
      <c r="I157" s="25">
        <f t="shared" si="22"/>
        <v>0</v>
      </c>
      <c r="J157" s="25" t="e">
        <f t="shared" si="20"/>
        <v>#DIV/0!</v>
      </c>
      <c r="K157" s="26" t="e">
        <f t="shared" si="21"/>
        <v>#DIV/0!</v>
      </c>
    </row>
    <row r="158" ht="12.75" spans="1:11">
      <c r="D158" s="29"/>
      <c r="E158" s="34" t="e">
        <f t="shared" si="16"/>
        <v>#DIV/0!</v>
      </c>
      <c r="F158" s="34" t="e">
        <f t="shared" si="17"/>
        <v>#DIV/0!</v>
      </c>
      <c r="G158" s="23" t="e">
        <f t="shared" si="19"/>
        <v>#DIV/0!</v>
      </c>
      <c r="H158" s="24" t="e">
        <f t="shared" si="18"/>
        <v>#DIV/0!</v>
      </c>
      <c r="I158" s="25">
        <f t="shared" si="22"/>
        <v>0</v>
      </c>
      <c r="J158" s="25" t="e">
        <f t="shared" si="20"/>
        <v>#DIV/0!</v>
      </c>
      <c r="K158" s="26" t="e">
        <f t="shared" si="21"/>
        <v>#DIV/0!</v>
      </c>
    </row>
    <row r="159" ht="12.75" spans="1:11">
      <c r="D159" s="29"/>
      <c r="E159" s="34" t="e">
        <f t="shared" si="16"/>
        <v>#DIV/0!</v>
      </c>
      <c r="F159" s="34" t="e">
        <f t="shared" si="17"/>
        <v>#DIV/0!</v>
      </c>
      <c r="G159" s="23" t="e">
        <f t="shared" si="19"/>
        <v>#DIV/0!</v>
      </c>
      <c r="H159" s="24" t="e">
        <f t="shared" si="18"/>
        <v>#DIV/0!</v>
      </c>
      <c r="I159" s="25">
        <f t="shared" si="22"/>
        <v>0</v>
      </c>
      <c r="J159" s="25" t="e">
        <f t="shared" si="20"/>
        <v>#DIV/0!</v>
      </c>
      <c r="K159" s="26" t="e">
        <f t="shared" si="21"/>
        <v>#DIV/0!</v>
      </c>
    </row>
    <row r="160" ht="12.75" spans="1:11">
      <c r="D160" s="29"/>
      <c r="E160" s="34" t="e">
        <f t="shared" si="16"/>
        <v>#DIV/0!</v>
      </c>
      <c r="F160" s="34" t="e">
        <f t="shared" si="17"/>
        <v>#DIV/0!</v>
      </c>
      <c r="G160" s="23" t="e">
        <f t="shared" si="19"/>
        <v>#DIV/0!</v>
      </c>
      <c r="H160" s="24" t="e">
        <f t="shared" si="18"/>
        <v>#DIV/0!</v>
      </c>
      <c r="I160" s="25">
        <f t="shared" si="22"/>
        <v>0</v>
      </c>
      <c r="J160" s="25" t="e">
        <f t="shared" si="20"/>
        <v>#DIV/0!</v>
      </c>
      <c r="K160" s="26" t="e">
        <f t="shared" si="21"/>
        <v>#DIV/0!</v>
      </c>
    </row>
    <row r="161" ht="12.75" spans="4:11">
      <c r="D161" s="29"/>
      <c r="E161" s="34" t="e">
        <f t="shared" si="16"/>
        <v>#DIV/0!</v>
      </c>
      <c r="F161" s="34" t="e">
        <f t="shared" si="17"/>
        <v>#DIV/0!</v>
      </c>
      <c r="G161" s="23" t="e">
        <f t="shared" si="19"/>
        <v>#DIV/0!</v>
      </c>
      <c r="H161" s="24" t="e">
        <f t="shared" si="18"/>
        <v>#DIV/0!</v>
      </c>
      <c r="I161" s="25">
        <f t="shared" si="22"/>
        <v>0</v>
      </c>
      <c r="J161" s="25" t="e">
        <f t="shared" si="20"/>
        <v>#DIV/0!</v>
      </c>
      <c r="K161" s="26" t="e">
        <f t="shared" si="21"/>
        <v>#DIV/0!</v>
      </c>
    </row>
    <row r="162" ht="12.75" spans="4:11">
      <c r="D162" s="29"/>
      <c r="E162" s="34" t="e">
        <f t="shared" si="16"/>
        <v>#DIV/0!</v>
      </c>
      <c r="F162" s="34" t="e">
        <f t="shared" si="17"/>
        <v>#DIV/0!</v>
      </c>
      <c r="G162" s="23" t="e">
        <f t="shared" si="19"/>
        <v>#DIV/0!</v>
      </c>
      <c r="H162" s="24" t="e">
        <f t="shared" si="18"/>
        <v>#DIV/0!</v>
      </c>
      <c r="I162" s="25">
        <f t="shared" si="22"/>
        <v>0</v>
      </c>
      <c r="J162" s="25" t="e">
        <f t="shared" si="20"/>
        <v>#DIV/0!</v>
      </c>
      <c r="K162" s="26" t="e">
        <f t="shared" si="21"/>
        <v>#DIV/0!</v>
      </c>
    </row>
    <row r="163" ht="12.75" spans="4:11">
      <c r="D163" s="29"/>
      <c r="E163" s="34" t="e">
        <f t="shared" si="16"/>
        <v>#DIV/0!</v>
      </c>
      <c r="F163" s="34" t="e">
        <f t="shared" si="17"/>
        <v>#DIV/0!</v>
      </c>
      <c r="G163" s="23" t="e">
        <f t="shared" si="19"/>
        <v>#DIV/0!</v>
      </c>
      <c r="H163" s="24" t="e">
        <f t="shared" si="18"/>
        <v>#DIV/0!</v>
      </c>
      <c r="I163" s="25">
        <f t="shared" si="22"/>
        <v>0</v>
      </c>
      <c r="J163" s="25" t="e">
        <f t="shared" si="20"/>
        <v>#DIV/0!</v>
      </c>
      <c r="K163" s="26" t="e">
        <f t="shared" si="21"/>
        <v>#DIV/0!</v>
      </c>
    </row>
    <row r="164" ht="12.75" spans="4:11">
      <c r="D164" s="29"/>
      <c r="E164" s="34" t="e">
        <f t="shared" si="16"/>
        <v>#DIV/0!</v>
      </c>
      <c r="F164" s="34" t="e">
        <f t="shared" si="17"/>
        <v>#DIV/0!</v>
      </c>
      <c r="G164" s="23" t="e">
        <f t="shared" si="19"/>
        <v>#DIV/0!</v>
      </c>
      <c r="H164" s="24" t="e">
        <f t="shared" si="18"/>
        <v>#DIV/0!</v>
      </c>
      <c r="I164" s="25">
        <f t="shared" si="22"/>
        <v>0</v>
      </c>
      <c r="J164" s="25" t="e">
        <f t="shared" si="20"/>
        <v>#DIV/0!</v>
      </c>
      <c r="K164" s="26" t="e">
        <f t="shared" si="21"/>
        <v>#DIV/0!</v>
      </c>
    </row>
    <row r="165" ht="12.75" spans="4:11">
      <c r="D165" s="29"/>
      <c r="E165" s="34" t="e">
        <f t="shared" si="16"/>
        <v>#DIV/0!</v>
      </c>
      <c r="F165" s="34" t="e">
        <f t="shared" si="17"/>
        <v>#DIV/0!</v>
      </c>
      <c r="G165" s="23" t="e">
        <f t="shared" si="19"/>
        <v>#DIV/0!</v>
      </c>
      <c r="H165" s="24" t="e">
        <f t="shared" si="18"/>
        <v>#DIV/0!</v>
      </c>
      <c r="I165" s="25">
        <f t="shared" si="22"/>
        <v>0</v>
      </c>
      <c r="J165" s="25" t="e">
        <f t="shared" si="20"/>
        <v>#DIV/0!</v>
      </c>
      <c r="K165" s="26" t="e">
        <f t="shared" si="21"/>
        <v>#DIV/0!</v>
      </c>
    </row>
    <row r="166" ht="12.75" spans="4:11">
      <c r="D166" s="29"/>
      <c r="E166" s="34" t="e">
        <f t="shared" si="16"/>
        <v>#DIV/0!</v>
      </c>
      <c r="F166" s="34" t="e">
        <f t="shared" si="17"/>
        <v>#DIV/0!</v>
      </c>
      <c r="G166" s="23" t="e">
        <f t="shared" si="19"/>
        <v>#DIV/0!</v>
      </c>
      <c r="H166" s="24" t="e">
        <f t="shared" si="18"/>
        <v>#DIV/0!</v>
      </c>
      <c r="I166" s="25">
        <f t="shared" si="22"/>
        <v>0</v>
      </c>
      <c r="J166" s="25" t="e">
        <f t="shared" si="20"/>
        <v>#DIV/0!</v>
      </c>
      <c r="K166" s="26" t="e">
        <f t="shared" si="21"/>
        <v>#DIV/0!</v>
      </c>
    </row>
    <row r="167" ht="12.75" spans="4:11">
      <c r="D167" s="29"/>
      <c r="E167" s="34" t="e">
        <f t="shared" si="16"/>
        <v>#DIV/0!</v>
      </c>
      <c r="F167" s="34" t="e">
        <f t="shared" si="17"/>
        <v>#DIV/0!</v>
      </c>
      <c r="G167" s="23" t="e">
        <f t="shared" si="19"/>
        <v>#DIV/0!</v>
      </c>
      <c r="H167" s="24" t="e">
        <f t="shared" si="18"/>
        <v>#DIV/0!</v>
      </c>
      <c r="I167" s="25">
        <f t="shared" si="22"/>
        <v>0</v>
      </c>
      <c r="J167" s="25" t="e">
        <f t="shared" si="20"/>
        <v>#DIV/0!</v>
      </c>
      <c r="K167" s="26" t="e">
        <f t="shared" si="21"/>
        <v>#DIV/0!</v>
      </c>
    </row>
    <row r="168" ht="12.75" spans="4:11">
      <c r="D168" s="29"/>
      <c r="E168" s="34" t="e">
        <f t="shared" si="16"/>
        <v>#DIV/0!</v>
      </c>
      <c r="F168" s="34" t="e">
        <f t="shared" si="17"/>
        <v>#DIV/0!</v>
      </c>
      <c r="G168" s="23" t="e">
        <f t="shared" si="19"/>
        <v>#DIV/0!</v>
      </c>
      <c r="H168" s="24" t="e">
        <f t="shared" si="18"/>
        <v>#DIV/0!</v>
      </c>
      <c r="I168" s="25">
        <f t="shared" si="22"/>
        <v>0</v>
      </c>
      <c r="J168" s="25" t="e">
        <f t="shared" si="20"/>
        <v>#DIV/0!</v>
      </c>
      <c r="K168" s="26" t="e">
        <f t="shared" si="21"/>
        <v>#DIV/0!</v>
      </c>
    </row>
    <row r="169" ht="12.75" spans="4:11">
      <c r="D169" s="29"/>
      <c r="E169" s="34" t="e">
        <f t="shared" si="16"/>
        <v>#DIV/0!</v>
      </c>
      <c r="F169" s="34" t="e">
        <f t="shared" si="17"/>
        <v>#DIV/0!</v>
      </c>
      <c r="G169" s="23" t="e">
        <f t="shared" si="19"/>
        <v>#DIV/0!</v>
      </c>
      <c r="H169" s="24" t="e">
        <f t="shared" si="18"/>
        <v>#DIV/0!</v>
      </c>
      <c r="I169" s="25">
        <f t="shared" si="22"/>
        <v>0</v>
      </c>
      <c r="J169" s="25" t="e">
        <f t="shared" si="20"/>
        <v>#DIV/0!</v>
      </c>
      <c r="K169" s="26" t="e">
        <f t="shared" si="21"/>
        <v>#DIV/0!</v>
      </c>
    </row>
    <row r="170" ht="12.75" spans="4:11">
      <c r="D170" s="29"/>
      <c r="E170" s="34" t="e">
        <f t="shared" si="16"/>
        <v>#DIV/0!</v>
      </c>
      <c r="F170" s="34" t="e">
        <f t="shared" si="17"/>
        <v>#DIV/0!</v>
      </c>
      <c r="G170" s="23" t="e">
        <f t="shared" si="19"/>
        <v>#DIV/0!</v>
      </c>
      <c r="H170" s="24" t="e">
        <f t="shared" si="18"/>
        <v>#DIV/0!</v>
      </c>
      <c r="I170" s="25">
        <f t="shared" si="22"/>
        <v>0</v>
      </c>
      <c r="J170" s="25" t="e">
        <f t="shared" si="20"/>
        <v>#DIV/0!</v>
      </c>
      <c r="K170" s="26" t="e">
        <f t="shared" si="21"/>
        <v>#DIV/0!</v>
      </c>
    </row>
    <row r="171" ht="12.75" spans="4:11">
      <c r="D171" s="29"/>
      <c r="E171" s="34" t="e">
        <f t="shared" si="16"/>
        <v>#DIV/0!</v>
      </c>
      <c r="F171" s="34" t="e">
        <f t="shared" si="17"/>
        <v>#DIV/0!</v>
      </c>
      <c r="G171" s="23" t="e">
        <f t="shared" si="19"/>
        <v>#DIV/0!</v>
      </c>
      <c r="H171" s="24" t="e">
        <f t="shared" si="18"/>
        <v>#DIV/0!</v>
      </c>
      <c r="I171" s="25">
        <f t="shared" si="22"/>
        <v>0</v>
      </c>
      <c r="J171" s="25" t="e">
        <f t="shared" si="20"/>
        <v>#DIV/0!</v>
      </c>
      <c r="K171" s="26" t="e">
        <f t="shared" si="21"/>
        <v>#DIV/0!</v>
      </c>
    </row>
    <row r="172" ht="12.75" spans="4:11">
      <c r="D172" s="29"/>
      <c r="E172" s="34" t="e">
        <f t="shared" si="16"/>
        <v>#DIV/0!</v>
      </c>
      <c r="F172" s="34" t="e">
        <f t="shared" si="17"/>
        <v>#DIV/0!</v>
      </c>
      <c r="G172" s="23" t="e">
        <f t="shared" si="19"/>
        <v>#DIV/0!</v>
      </c>
      <c r="H172" s="24" t="e">
        <f t="shared" si="18"/>
        <v>#DIV/0!</v>
      </c>
      <c r="I172" s="25">
        <f t="shared" si="22"/>
        <v>0</v>
      </c>
      <c r="J172" s="25" t="e">
        <f t="shared" si="20"/>
        <v>#DIV/0!</v>
      </c>
      <c r="K172" s="26" t="e">
        <f t="shared" si="21"/>
        <v>#DIV/0!</v>
      </c>
    </row>
    <row r="173" ht="12.75" spans="4:11">
      <c r="D173" s="29"/>
      <c r="E173" s="34" t="e">
        <f t="shared" si="16"/>
        <v>#DIV/0!</v>
      </c>
      <c r="F173" s="34" t="e">
        <f t="shared" si="17"/>
        <v>#DIV/0!</v>
      </c>
      <c r="G173" s="23" t="e">
        <f t="shared" si="19"/>
        <v>#DIV/0!</v>
      </c>
      <c r="H173" s="24" t="e">
        <f t="shared" si="18"/>
        <v>#DIV/0!</v>
      </c>
      <c r="I173" s="25">
        <f t="shared" si="22"/>
        <v>0</v>
      </c>
      <c r="J173" s="25" t="e">
        <f t="shared" si="20"/>
        <v>#DIV/0!</v>
      </c>
      <c r="K173" s="26" t="e">
        <f t="shared" si="21"/>
        <v>#DIV/0!</v>
      </c>
    </row>
    <row r="174" ht="12.75" spans="4:11">
      <c r="D174" s="29"/>
      <c r="E174" s="34" t="e">
        <f t="shared" si="16"/>
        <v>#DIV/0!</v>
      </c>
      <c r="F174" s="34" t="e">
        <f t="shared" si="17"/>
        <v>#DIV/0!</v>
      </c>
      <c r="G174" s="23" t="e">
        <f t="shared" si="19"/>
        <v>#DIV/0!</v>
      </c>
      <c r="H174" s="24" t="e">
        <f t="shared" si="18"/>
        <v>#DIV/0!</v>
      </c>
      <c r="I174" s="25">
        <f t="shared" si="22"/>
        <v>0</v>
      </c>
      <c r="J174" s="25" t="e">
        <f t="shared" si="20"/>
        <v>#DIV/0!</v>
      </c>
      <c r="K174" s="26" t="e">
        <f t="shared" si="21"/>
        <v>#DIV/0!</v>
      </c>
    </row>
    <row r="175" ht="12.75" spans="4:11">
      <c r="D175" s="29"/>
      <c r="E175" s="34" t="e">
        <f t="shared" si="16"/>
        <v>#DIV/0!</v>
      </c>
      <c r="F175" s="34" t="e">
        <f t="shared" si="17"/>
        <v>#DIV/0!</v>
      </c>
      <c r="G175" s="23" t="e">
        <f t="shared" si="19"/>
        <v>#DIV/0!</v>
      </c>
      <c r="H175" s="24" t="e">
        <f t="shared" si="18"/>
        <v>#DIV/0!</v>
      </c>
      <c r="I175" s="25">
        <f t="shared" si="22"/>
        <v>0</v>
      </c>
      <c r="J175" s="25" t="e">
        <f t="shared" si="20"/>
        <v>#DIV/0!</v>
      </c>
      <c r="K175" s="26" t="e">
        <f t="shared" si="21"/>
        <v>#DIV/0!</v>
      </c>
    </row>
    <row r="176" ht="12.75" spans="4:11">
      <c r="D176" s="29"/>
      <c r="E176" s="34" t="e">
        <f t="shared" si="16"/>
        <v>#DIV/0!</v>
      </c>
      <c r="F176" s="34" t="e">
        <f t="shared" si="17"/>
        <v>#DIV/0!</v>
      </c>
      <c r="G176" s="23" t="e">
        <f t="shared" si="19"/>
        <v>#DIV/0!</v>
      </c>
      <c r="H176" s="24" t="e">
        <f t="shared" si="18"/>
        <v>#DIV/0!</v>
      </c>
      <c r="I176" s="25">
        <f t="shared" si="22"/>
        <v>0</v>
      </c>
      <c r="J176" s="25" t="e">
        <f t="shared" si="20"/>
        <v>#DIV/0!</v>
      </c>
      <c r="K176" s="26" t="e">
        <f t="shared" si="21"/>
        <v>#DIV/0!</v>
      </c>
    </row>
    <row r="177" ht="12.75" spans="4:11">
      <c r="D177" s="29"/>
      <c r="E177" s="34" t="e">
        <f t="shared" si="16"/>
        <v>#DIV/0!</v>
      </c>
      <c r="F177" s="34" t="e">
        <f t="shared" si="17"/>
        <v>#DIV/0!</v>
      </c>
      <c r="G177" s="23" t="e">
        <f t="shared" si="19"/>
        <v>#DIV/0!</v>
      </c>
      <c r="H177" s="24" t="e">
        <f t="shared" si="18"/>
        <v>#DIV/0!</v>
      </c>
      <c r="I177" s="25">
        <f t="shared" si="22"/>
        <v>0</v>
      </c>
      <c r="J177" s="25" t="e">
        <f t="shared" si="20"/>
        <v>#DIV/0!</v>
      </c>
      <c r="K177" s="26" t="e">
        <f t="shared" si="21"/>
        <v>#DIV/0!</v>
      </c>
    </row>
    <row r="178" ht="12.75" spans="4:11">
      <c r="D178" s="29"/>
      <c r="E178" s="34" t="e">
        <f t="shared" si="16"/>
        <v>#DIV/0!</v>
      </c>
      <c r="F178" s="34" t="e">
        <f t="shared" si="17"/>
        <v>#DIV/0!</v>
      </c>
      <c r="G178" s="23" t="e">
        <f t="shared" si="19"/>
        <v>#DIV/0!</v>
      </c>
      <c r="H178" s="24" t="e">
        <f t="shared" si="18"/>
        <v>#DIV/0!</v>
      </c>
      <c r="I178" s="25">
        <f t="shared" si="22"/>
        <v>0</v>
      </c>
      <c r="J178" s="25" t="e">
        <f t="shared" si="20"/>
        <v>#DIV/0!</v>
      </c>
      <c r="K178" s="26" t="e">
        <f t="shared" si="21"/>
        <v>#DIV/0!</v>
      </c>
    </row>
    <row r="179" ht="12.75" spans="4:11">
      <c r="D179" s="29"/>
      <c r="E179" s="34" t="e">
        <f t="shared" si="16"/>
        <v>#DIV/0!</v>
      </c>
      <c r="F179" s="34" t="e">
        <f t="shared" si="17"/>
        <v>#DIV/0!</v>
      </c>
      <c r="G179" s="23" t="e">
        <f t="shared" si="19"/>
        <v>#DIV/0!</v>
      </c>
      <c r="H179" s="24" t="e">
        <f t="shared" si="18"/>
        <v>#DIV/0!</v>
      </c>
      <c r="I179" s="25">
        <f t="shared" si="22"/>
        <v>0</v>
      </c>
      <c r="J179" s="25" t="e">
        <f t="shared" si="20"/>
        <v>#DIV/0!</v>
      </c>
      <c r="K179" s="26" t="e">
        <f t="shared" si="21"/>
        <v>#DIV/0!</v>
      </c>
    </row>
    <row r="180" ht="12.75" spans="4:11">
      <c r="D180" s="29"/>
      <c r="E180" s="34" t="e">
        <f t="shared" si="16"/>
        <v>#DIV/0!</v>
      </c>
      <c r="F180" s="34" t="e">
        <f t="shared" si="17"/>
        <v>#DIV/0!</v>
      </c>
      <c r="G180" s="23" t="e">
        <f t="shared" si="19"/>
        <v>#DIV/0!</v>
      </c>
      <c r="H180" s="24" t="e">
        <f t="shared" si="18"/>
        <v>#DIV/0!</v>
      </c>
      <c r="I180" s="25">
        <f t="shared" si="22"/>
        <v>0</v>
      </c>
      <c r="J180" s="25" t="e">
        <f t="shared" si="20"/>
        <v>#DIV/0!</v>
      </c>
      <c r="K180" s="26" t="e">
        <f t="shared" si="21"/>
        <v>#DIV/0!</v>
      </c>
    </row>
    <row r="181" ht="12.75" spans="4:11">
      <c r="D181" s="29"/>
      <c r="E181" s="34" t="e">
        <f t="shared" si="16"/>
        <v>#DIV/0!</v>
      </c>
      <c r="F181" s="34" t="e">
        <f t="shared" si="17"/>
        <v>#DIV/0!</v>
      </c>
      <c r="G181" s="23" t="e">
        <f t="shared" si="19"/>
        <v>#DIV/0!</v>
      </c>
      <c r="H181" s="24" t="e">
        <f t="shared" si="18"/>
        <v>#DIV/0!</v>
      </c>
      <c r="I181" s="25">
        <f t="shared" si="22"/>
        <v>0</v>
      </c>
      <c r="J181" s="25" t="e">
        <f t="shared" si="20"/>
        <v>#DIV/0!</v>
      </c>
      <c r="K181" s="26" t="e">
        <f t="shared" si="21"/>
        <v>#DIV/0!</v>
      </c>
    </row>
    <row r="182" ht="12.75" spans="4:11">
      <c r="D182" s="29"/>
      <c r="E182" s="34" t="e">
        <f t="shared" si="16"/>
        <v>#DIV/0!</v>
      </c>
      <c r="F182" s="34" t="e">
        <f t="shared" si="17"/>
        <v>#DIV/0!</v>
      </c>
      <c r="G182" s="23" t="e">
        <f t="shared" si="19"/>
        <v>#DIV/0!</v>
      </c>
      <c r="H182" s="24" t="e">
        <f t="shared" si="18"/>
        <v>#DIV/0!</v>
      </c>
      <c r="I182" s="25">
        <f t="shared" si="22"/>
        <v>0</v>
      </c>
      <c r="J182" s="25" t="e">
        <f t="shared" si="20"/>
        <v>#DIV/0!</v>
      </c>
      <c r="K182" s="26" t="e">
        <f t="shared" si="21"/>
        <v>#DIV/0!</v>
      </c>
    </row>
    <row r="183" ht="12.75" spans="4:11">
      <c r="D183" s="29"/>
      <c r="E183" s="34" t="e">
        <f t="shared" si="16"/>
        <v>#DIV/0!</v>
      </c>
      <c r="F183" s="34" t="e">
        <f t="shared" si="17"/>
        <v>#DIV/0!</v>
      </c>
      <c r="G183" s="23" t="e">
        <f t="shared" si="19"/>
        <v>#DIV/0!</v>
      </c>
      <c r="H183" s="24" t="e">
        <f t="shared" si="18"/>
        <v>#DIV/0!</v>
      </c>
      <c r="I183" s="25">
        <f t="shared" si="22"/>
        <v>0</v>
      </c>
      <c r="J183" s="25" t="e">
        <f t="shared" si="20"/>
        <v>#DIV/0!</v>
      </c>
      <c r="K183" s="26" t="e">
        <f t="shared" si="21"/>
        <v>#DIV/0!</v>
      </c>
    </row>
    <row r="184" ht="12.75" spans="4:11">
      <c r="D184" s="29"/>
      <c r="E184" s="34" t="e">
        <f t="shared" si="16"/>
        <v>#DIV/0!</v>
      </c>
      <c r="F184" s="34" t="e">
        <f t="shared" si="17"/>
        <v>#DIV/0!</v>
      </c>
      <c r="G184" s="23" t="e">
        <f t="shared" si="19"/>
        <v>#DIV/0!</v>
      </c>
      <c r="H184" s="24" t="e">
        <f t="shared" si="18"/>
        <v>#DIV/0!</v>
      </c>
      <c r="I184" s="25">
        <f t="shared" si="22"/>
        <v>0</v>
      </c>
      <c r="J184" s="25" t="e">
        <f t="shared" si="20"/>
        <v>#DIV/0!</v>
      </c>
      <c r="K184" s="26" t="e">
        <f t="shared" si="21"/>
        <v>#DIV/0!</v>
      </c>
    </row>
    <row r="185" ht="12.75" spans="4:11">
      <c r="D185" s="29"/>
      <c r="E185" s="34" t="e">
        <f t="shared" si="16"/>
        <v>#DIV/0!</v>
      </c>
      <c r="F185" s="34" t="e">
        <f t="shared" si="17"/>
        <v>#DIV/0!</v>
      </c>
      <c r="G185" s="23" t="e">
        <f t="shared" si="19"/>
        <v>#DIV/0!</v>
      </c>
      <c r="H185" s="24" t="e">
        <f t="shared" si="18"/>
        <v>#DIV/0!</v>
      </c>
      <c r="I185" s="25">
        <f t="shared" si="22"/>
        <v>0</v>
      </c>
      <c r="J185" s="25" t="e">
        <f t="shared" si="20"/>
        <v>#DIV/0!</v>
      </c>
      <c r="K185" s="26" t="e">
        <f t="shared" si="21"/>
        <v>#DIV/0!</v>
      </c>
    </row>
    <row r="186" ht="12.75" spans="4:11">
      <c r="D186" s="29"/>
      <c r="E186" s="34" t="e">
        <f t="shared" si="16"/>
        <v>#DIV/0!</v>
      </c>
      <c r="F186" s="34" t="e">
        <f t="shared" si="17"/>
        <v>#DIV/0!</v>
      </c>
      <c r="G186" s="23" t="e">
        <f t="shared" si="19"/>
        <v>#DIV/0!</v>
      </c>
      <c r="H186" s="24" t="e">
        <f t="shared" si="18"/>
        <v>#DIV/0!</v>
      </c>
      <c r="I186" s="25">
        <f t="shared" si="22"/>
        <v>0</v>
      </c>
      <c r="J186" s="25" t="e">
        <f t="shared" si="20"/>
        <v>#DIV/0!</v>
      </c>
      <c r="K186" s="26" t="e">
        <f t="shared" si="21"/>
        <v>#DIV/0!</v>
      </c>
    </row>
    <row r="187" ht="12.75" spans="4:11">
      <c r="D187" s="29"/>
      <c r="E187" s="34" t="e">
        <f t="shared" si="16"/>
        <v>#DIV/0!</v>
      </c>
      <c r="F187" s="34" t="e">
        <f t="shared" si="17"/>
        <v>#DIV/0!</v>
      </c>
      <c r="G187" s="23" t="e">
        <f t="shared" si="19"/>
        <v>#DIV/0!</v>
      </c>
      <c r="H187" s="24" t="e">
        <f t="shared" si="18"/>
        <v>#DIV/0!</v>
      </c>
      <c r="I187" s="25">
        <f t="shared" si="22"/>
        <v>0</v>
      </c>
      <c r="J187" s="25" t="e">
        <f t="shared" si="20"/>
        <v>#DIV/0!</v>
      </c>
      <c r="K187" s="26" t="e">
        <f t="shared" si="21"/>
        <v>#DIV/0!</v>
      </c>
    </row>
    <row r="188" ht="12.75" spans="4:11">
      <c r="D188" s="29"/>
      <c r="E188" s="34" t="e">
        <f t="shared" si="16"/>
        <v>#DIV/0!</v>
      </c>
      <c r="F188" s="34" t="e">
        <f t="shared" si="17"/>
        <v>#DIV/0!</v>
      </c>
      <c r="G188" s="23" t="e">
        <f t="shared" si="19"/>
        <v>#DIV/0!</v>
      </c>
      <c r="H188" s="24" t="e">
        <f t="shared" si="18"/>
        <v>#DIV/0!</v>
      </c>
      <c r="I188" s="25">
        <f t="shared" si="22"/>
        <v>0</v>
      </c>
      <c r="J188" s="25" t="e">
        <f t="shared" si="20"/>
        <v>#DIV/0!</v>
      </c>
      <c r="K188" s="26" t="e">
        <f t="shared" si="21"/>
        <v>#DIV/0!</v>
      </c>
    </row>
    <row r="189" ht="12.75" spans="4:11">
      <c r="D189" s="29"/>
      <c r="E189" s="34" t="e">
        <f t="shared" si="16"/>
        <v>#DIV/0!</v>
      </c>
      <c r="F189" s="34" t="e">
        <f t="shared" si="17"/>
        <v>#DIV/0!</v>
      </c>
      <c r="G189" s="23" t="e">
        <f t="shared" si="19"/>
        <v>#DIV/0!</v>
      </c>
      <c r="H189" s="24" t="e">
        <f t="shared" si="18"/>
        <v>#DIV/0!</v>
      </c>
      <c r="I189" s="25">
        <f t="shared" si="22"/>
        <v>0</v>
      </c>
      <c r="J189" s="25" t="e">
        <f t="shared" si="20"/>
        <v>#DIV/0!</v>
      </c>
      <c r="K189" s="26" t="e">
        <f t="shared" si="21"/>
        <v>#DIV/0!</v>
      </c>
    </row>
    <row r="190" ht="12.75" spans="4:11">
      <c r="D190" s="29"/>
      <c r="E190" s="34" t="e">
        <f t="shared" si="16"/>
        <v>#DIV/0!</v>
      </c>
      <c r="F190" s="34" t="e">
        <f t="shared" si="17"/>
        <v>#DIV/0!</v>
      </c>
      <c r="G190" s="23" t="e">
        <f t="shared" si="19"/>
        <v>#DIV/0!</v>
      </c>
      <c r="H190" s="24" t="e">
        <f t="shared" si="18"/>
        <v>#DIV/0!</v>
      </c>
      <c r="I190" s="25">
        <f t="shared" si="22"/>
        <v>0</v>
      </c>
      <c r="J190" s="25" t="e">
        <f t="shared" si="20"/>
        <v>#DIV/0!</v>
      </c>
      <c r="K190" s="26" t="e">
        <f t="shared" si="21"/>
        <v>#DIV/0!</v>
      </c>
    </row>
    <row r="191" ht="12.75" spans="4:11">
      <c r="D191" s="29"/>
      <c r="E191" s="34" t="e">
        <f t="shared" si="16"/>
        <v>#DIV/0!</v>
      </c>
      <c r="F191" s="34" t="e">
        <f t="shared" si="17"/>
        <v>#DIV/0!</v>
      </c>
      <c r="G191" s="23" t="e">
        <f t="shared" si="19"/>
        <v>#DIV/0!</v>
      </c>
      <c r="H191" s="24" t="e">
        <f t="shared" si="18"/>
        <v>#DIV/0!</v>
      </c>
      <c r="I191" s="25">
        <f t="shared" si="22"/>
        <v>0</v>
      </c>
      <c r="J191" s="25" t="e">
        <f t="shared" si="20"/>
        <v>#DIV/0!</v>
      </c>
      <c r="K191" s="26" t="e">
        <f t="shared" si="21"/>
        <v>#DIV/0!</v>
      </c>
    </row>
    <row r="192" ht="12.75" spans="4:11">
      <c r="D192" s="29"/>
      <c r="E192" s="34" t="e">
        <f t="shared" si="16"/>
        <v>#DIV/0!</v>
      </c>
      <c r="F192" s="34" t="e">
        <f t="shared" si="17"/>
        <v>#DIV/0!</v>
      </c>
      <c r="G192" s="23" t="e">
        <f t="shared" si="19"/>
        <v>#DIV/0!</v>
      </c>
      <c r="H192" s="24" t="e">
        <f t="shared" si="18"/>
        <v>#DIV/0!</v>
      </c>
      <c r="I192" s="25">
        <f t="shared" si="22"/>
        <v>0</v>
      </c>
      <c r="J192" s="25" t="e">
        <f t="shared" si="20"/>
        <v>#DIV/0!</v>
      </c>
      <c r="K192" s="26" t="e">
        <f t="shared" si="21"/>
        <v>#DIV/0!</v>
      </c>
    </row>
    <row r="193" ht="12.75" spans="4:11">
      <c r="D193" s="29"/>
      <c r="E193" s="34" t="e">
        <f t="shared" si="16"/>
        <v>#DIV/0!</v>
      </c>
      <c r="F193" s="34" t="e">
        <f t="shared" si="17"/>
        <v>#DIV/0!</v>
      </c>
      <c r="G193" s="23" t="e">
        <f t="shared" si="19"/>
        <v>#DIV/0!</v>
      </c>
      <c r="H193" s="24" t="e">
        <f t="shared" si="18"/>
        <v>#DIV/0!</v>
      </c>
      <c r="I193" s="25">
        <f t="shared" si="22"/>
        <v>0</v>
      </c>
      <c r="J193" s="25" t="e">
        <f t="shared" si="20"/>
        <v>#DIV/0!</v>
      </c>
      <c r="K193" s="26" t="e">
        <f t="shared" si="21"/>
        <v>#DIV/0!</v>
      </c>
    </row>
    <row r="194" ht="12.75" spans="4:11">
      <c r="D194" s="29"/>
      <c r="E194" s="34" t="e">
        <f>(D194*0.8)*182.5/C194</f>
        <v>#DIV/0!</v>
      </c>
      <c r="F194" s="34" t="e">
        <f>(D194*0.8)*267/C194</f>
        <v>#DIV/0!</v>
      </c>
      <c r="G194" s="23" t="e">
        <f t="shared" si="19"/>
        <v>#DIV/0!</v>
      </c>
      <c r="H194" s="24" t="e">
        <f>D194/B194</f>
        <v>#DIV/0!</v>
      </c>
      <c r="I194" s="25">
        <f t="shared" si="22"/>
        <v>0</v>
      </c>
      <c r="J194" s="25" t="e">
        <f t="shared" si="20"/>
        <v>#DIV/0!</v>
      </c>
      <c r="K194" s="26" t="e">
        <f t="shared" si="21"/>
        <v>#DIV/0!</v>
      </c>
    </row>
  </sheetData>
  <autoFilter xmlns:etc="http://www.wps.cn/officeDocument/2017/etCustomData" ref="Q1:Q1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YH">
    <tabColor rgb="FFFFF9E3"/>
  </sheetPr>
  <dimension ref="A1:Z16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4" defaultRowHeight="18" customHeight="1"/>
  <cols>
    <col min="1" max="1" width="12.952380952381" customWidth="1"/>
    <col min="4" max="4" width="12.8095238095238" customWidth="1"/>
    <col min="15" max="15" width="15.0285714285714" customWidth="1"/>
  </cols>
  <sheetData>
    <row r="1" customHeight="1" spans="1:26">
      <c r="A1" s="16" t="s">
        <v>35</v>
      </c>
      <c r="B1" s="16" t="s">
        <v>36</v>
      </c>
      <c r="C1" s="16" t="s">
        <v>2</v>
      </c>
      <c r="D1" s="16" t="s">
        <v>3</v>
      </c>
      <c r="E1" s="16" t="s">
        <v>6</v>
      </c>
      <c r="F1" s="16" t="s">
        <v>7</v>
      </c>
      <c r="G1" s="17" t="s">
        <v>38</v>
      </c>
      <c r="H1" s="18" t="s">
        <v>46</v>
      </c>
      <c r="I1" s="18" t="s">
        <v>47</v>
      </c>
      <c r="J1" s="16" t="s">
        <v>12</v>
      </c>
      <c r="K1" s="16" t="s">
        <v>13</v>
      </c>
      <c r="L1" s="16" t="s">
        <v>14</v>
      </c>
      <c r="M1" s="16" t="s">
        <v>15</v>
      </c>
      <c r="N1" s="16" t="s">
        <v>16</v>
      </c>
      <c r="O1" s="16" t="s">
        <v>18</v>
      </c>
      <c r="P1" s="16" t="s">
        <v>19</v>
      </c>
      <c r="Q1" t="s">
        <v>27</v>
      </c>
      <c r="S1" s="19" t="s">
        <v>48</v>
      </c>
      <c r="T1" s="19" t="s">
        <v>49</v>
      </c>
      <c r="U1" s="19" t="s">
        <v>38</v>
      </c>
      <c r="V1" s="19" t="s">
        <v>50</v>
      </c>
      <c r="W1" s="19" t="s">
        <v>51</v>
      </c>
      <c r="X1" s="20" t="s">
        <v>52</v>
      </c>
      <c r="Y1" s="20" t="s">
        <v>46</v>
      </c>
      <c r="Z1" s="19" t="s">
        <v>53</v>
      </c>
    </row>
    <row r="2" customHeight="1" spans="1:26">
      <c r="A2" s="21">
        <v>45474</v>
      </c>
      <c r="B2">
        <v>2519</v>
      </c>
      <c r="C2">
        <v>806265.47</v>
      </c>
      <c r="D2" s="22">
        <v>926</v>
      </c>
      <c r="E2" s="23">
        <f t="shared" ref="E2:E65" si="0">((D2*0.9)*196*1.3)/C2</f>
        <v>0.263375188323518</v>
      </c>
      <c r="F2" s="24">
        <f t="shared" ref="F2:F65" si="1">D2/B2</f>
        <v>0.367606192933704</v>
      </c>
      <c r="G2" s="25">
        <f>287979.21+878672.15+63183.27</f>
        <v>1229834.63</v>
      </c>
      <c r="H2" s="26">
        <f>(G2-1300000)/1300000</f>
        <v>-0.0539733615384614</v>
      </c>
      <c r="J2" s="27" t="s">
        <v>40</v>
      </c>
      <c r="K2">
        <v>2460.74</v>
      </c>
      <c r="M2">
        <f t="shared" ref="M2:M8" si="2">K2*4</f>
        <v>9842.96</v>
      </c>
      <c r="O2" s="3">
        <f>(M2*12)/400000</f>
        <v>0.2952888</v>
      </c>
      <c r="P2" s="28" t="s">
        <v>41</v>
      </c>
      <c r="Q2">
        <f>M2-K2</f>
        <v>7382.22</v>
      </c>
      <c r="S2">
        <v>1600000</v>
      </c>
      <c r="T2">
        <f>SUM(Q2:Q18)</f>
        <v>375500.84</v>
      </c>
      <c r="U2" s="25">
        <v>2290000</v>
      </c>
      <c r="V2">
        <v>2290000</v>
      </c>
      <c r="W2">
        <v>1000000</v>
      </c>
      <c r="X2" s="26">
        <f>(U2-T2-S2)/S2</f>
        <v>0.196561975</v>
      </c>
      <c r="Y2">
        <f>((U2-V2)*0.95)+(V2*0.99)-S2</f>
        <v>667100</v>
      </c>
      <c r="Z2" s="26">
        <f>Y2/S2*100%</f>
        <v>0.4169375</v>
      </c>
    </row>
    <row r="3" customHeight="1" spans="1:26">
      <c r="A3" s="21">
        <v>45475</v>
      </c>
      <c r="D3" s="22"/>
      <c r="E3" s="23" t="e">
        <f t="shared" si="0"/>
        <v>#DIV/0!</v>
      </c>
      <c r="F3" s="24" t="e">
        <f t="shared" si="1"/>
        <v>#DIV/0!</v>
      </c>
      <c r="G3" s="25"/>
      <c r="H3" s="26"/>
      <c r="J3" s="27" t="s">
        <v>42</v>
      </c>
      <c r="K3">
        <v>5981.57</v>
      </c>
      <c r="L3">
        <v>33073.96</v>
      </c>
      <c r="M3">
        <f t="shared" si="2"/>
        <v>23926.28</v>
      </c>
      <c r="N3">
        <f t="shared" ref="N3:N18" si="3">L3-K3-M3</f>
        <v>3166.11</v>
      </c>
      <c r="O3" s="3">
        <f>((M3*12)*0.99)/950000</f>
        <v>0.299204427789474</v>
      </c>
      <c r="P3" s="28">
        <f>((L3-K3)*12*0.99)/950000</f>
        <v>0.338797466526316</v>
      </c>
      <c r="Q3">
        <f t="shared" ref="Q3:Q18" si="4">L3-K3</f>
        <v>27092.39</v>
      </c>
    </row>
    <row r="4" customHeight="1" spans="1:26">
      <c r="A4" s="21">
        <v>45476</v>
      </c>
      <c r="D4" s="29"/>
      <c r="E4" s="23" t="e">
        <f t="shared" si="0"/>
        <v>#DIV/0!</v>
      </c>
      <c r="F4" s="24" t="e">
        <f t="shared" si="1"/>
        <v>#DIV/0!</v>
      </c>
      <c r="G4" s="25"/>
      <c r="H4" s="26"/>
      <c r="J4" s="27" t="s">
        <v>43</v>
      </c>
      <c r="K4">
        <v>5586.51</v>
      </c>
      <c r="L4">
        <v>30398.86</v>
      </c>
      <c r="M4">
        <f t="shared" si="2"/>
        <v>22346.04</v>
      </c>
      <c r="N4">
        <f t="shared" si="3"/>
        <v>2466.31</v>
      </c>
      <c r="O4" s="3">
        <f>(M4*12)/1000000</f>
        <v>0.26815248</v>
      </c>
      <c r="P4" s="28">
        <f>((L4-K4)*12*0.99)/1000000</f>
        <v>0.294770718</v>
      </c>
      <c r="Q4">
        <f t="shared" si="4"/>
        <v>24812.35</v>
      </c>
    </row>
    <row r="5" customHeight="1" spans="1:26">
      <c r="A5" s="21">
        <v>45477</v>
      </c>
      <c r="D5" s="29"/>
      <c r="E5" s="23" t="e">
        <f t="shared" si="0"/>
        <v>#DIV/0!</v>
      </c>
      <c r="F5" s="24" t="e">
        <f t="shared" si="1"/>
        <v>#DIV/0!</v>
      </c>
      <c r="G5" s="25"/>
      <c r="H5" s="26"/>
      <c r="J5" s="27" t="s">
        <v>44</v>
      </c>
      <c r="K5">
        <v>5482.41</v>
      </c>
      <c r="L5">
        <v>29383.02</v>
      </c>
      <c r="M5">
        <f t="shared" si="2"/>
        <v>21929.64</v>
      </c>
      <c r="N5">
        <f t="shared" si="3"/>
        <v>1970.97</v>
      </c>
      <c r="O5" s="3">
        <f>(M5*12)/1200000</f>
        <v>0.2192964</v>
      </c>
      <c r="P5" s="28">
        <f>((L5-K5)*12*0.99)/1200000</f>
        <v>0.236616039</v>
      </c>
      <c r="Q5">
        <f t="shared" si="4"/>
        <v>23900.61</v>
      </c>
    </row>
    <row r="6" customHeight="1" spans="1:26">
      <c r="A6" s="21">
        <v>45478</v>
      </c>
      <c r="B6">
        <v>2539</v>
      </c>
      <c r="C6">
        <v>878672.15</v>
      </c>
      <c r="D6" s="22">
        <v>973.84</v>
      </c>
      <c r="E6" s="23">
        <f t="shared" si="0"/>
        <v>0.254157354139425</v>
      </c>
      <c r="F6" s="24">
        <f t="shared" si="1"/>
        <v>0.383552579755809</v>
      </c>
      <c r="G6" s="25">
        <f>287979.21+878672.15+63183.27</f>
        <v>1229834.63</v>
      </c>
      <c r="H6" s="26">
        <f t="shared" ref="H6:H17" si="5">(G6-1300000)/1300000</f>
        <v>-0.0539733615384614</v>
      </c>
      <c r="J6" s="27" t="s">
        <v>45</v>
      </c>
      <c r="K6">
        <v>5733.4</v>
      </c>
      <c r="L6">
        <v>30835.19</v>
      </c>
      <c r="M6">
        <f t="shared" si="2"/>
        <v>22933.6</v>
      </c>
      <c r="N6">
        <f t="shared" si="3"/>
        <v>2168.19</v>
      </c>
      <c r="O6" s="3">
        <f>(M6*12)/1300000</f>
        <v>0.211694769230769</v>
      </c>
      <c r="P6" s="28">
        <f>((L6-K6)*12*0.99)/1300000</f>
        <v>0.229391742461538</v>
      </c>
      <c r="Q6">
        <f t="shared" si="4"/>
        <v>25101.79</v>
      </c>
    </row>
    <row r="7" customHeight="1" spans="1:26">
      <c r="A7" s="21">
        <v>45479</v>
      </c>
      <c r="D7" s="22"/>
      <c r="E7" s="23" t="e">
        <f t="shared" si="0"/>
        <v>#DIV/0!</v>
      </c>
      <c r="F7" s="24" t="e">
        <f t="shared" si="1"/>
        <v>#DIV/0!</v>
      </c>
      <c r="G7" s="25"/>
      <c r="H7" s="26">
        <f t="shared" si="5"/>
        <v>-1</v>
      </c>
      <c r="J7" s="27" t="s">
        <v>28</v>
      </c>
      <c r="K7">
        <v>5566.97</v>
      </c>
      <c r="L7">
        <v>28290.72</v>
      </c>
      <c r="M7">
        <f t="shared" si="2"/>
        <v>22267.88</v>
      </c>
      <c r="N7">
        <f t="shared" si="3"/>
        <v>455.869999999999</v>
      </c>
      <c r="O7" s="3">
        <f>(M7*12)/1300000</f>
        <v>0.205549661538462</v>
      </c>
      <c r="P7" s="28">
        <f>((L7-K7)*12*0.99)/1300000</f>
        <v>0.207660115384615</v>
      </c>
      <c r="Q7">
        <f t="shared" si="4"/>
        <v>22723.75</v>
      </c>
    </row>
    <row r="8" customHeight="1" spans="1:26">
      <c r="A8" s="21">
        <v>45480</v>
      </c>
      <c r="D8" s="29"/>
      <c r="E8" s="23" t="e">
        <f t="shared" si="0"/>
        <v>#DIV/0!</v>
      </c>
      <c r="F8" s="24" t="e">
        <f t="shared" si="1"/>
        <v>#DIV/0!</v>
      </c>
      <c r="G8" s="25"/>
      <c r="H8" s="26">
        <f t="shared" si="5"/>
        <v>-1</v>
      </c>
      <c r="J8" s="27" t="s">
        <v>29</v>
      </c>
      <c r="K8">
        <v>4613.31</v>
      </c>
      <c r="L8">
        <v>26175.54</v>
      </c>
      <c r="M8">
        <f t="shared" si="2"/>
        <v>18453.24</v>
      </c>
      <c r="N8">
        <f t="shared" si="3"/>
        <v>3108.99</v>
      </c>
      <c r="O8" s="3">
        <f>(M8*12)/1300000</f>
        <v>0.1703376</v>
      </c>
      <c r="P8" s="28">
        <f>((L8-K8)*12*0.99)/1300000</f>
        <v>0.197045609538462</v>
      </c>
      <c r="Q8">
        <f t="shared" si="4"/>
        <v>21562.23</v>
      </c>
    </row>
    <row r="9" customHeight="1" spans="1:26">
      <c r="A9" s="21">
        <v>45481</v>
      </c>
      <c r="B9">
        <v>2317</v>
      </c>
      <c r="C9">
        <v>820212.85</v>
      </c>
      <c r="D9" s="22">
        <v>906.36</v>
      </c>
      <c r="E9" s="23">
        <f t="shared" si="0"/>
        <v>0.253405533941586</v>
      </c>
      <c r="F9" s="24">
        <f t="shared" si="1"/>
        <v>0.391178247734139</v>
      </c>
      <c r="G9" s="25"/>
      <c r="H9" s="26">
        <f t="shared" si="5"/>
        <v>-1</v>
      </c>
      <c r="J9" s="27" t="s">
        <v>30</v>
      </c>
      <c r="K9">
        <v>4175.2</v>
      </c>
      <c r="L9">
        <v>44504.29</v>
      </c>
      <c r="M9">
        <f t="shared" ref="M9:M18" si="6">K9*9</f>
        <v>37576.8</v>
      </c>
      <c r="N9">
        <f t="shared" si="3"/>
        <v>2752.29000000001</v>
      </c>
      <c r="O9" s="3">
        <f t="shared" ref="O9:O18" si="7">(M9*12)/1600000</f>
        <v>0.281826</v>
      </c>
      <c r="P9" s="28">
        <f t="shared" ref="P9:P18" si="8">((L9-K9)*12*0.99)/1600000</f>
        <v>0.29944349325</v>
      </c>
      <c r="Q9">
        <f t="shared" si="4"/>
        <v>40329.09</v>
      </c>
    </row>
    <row r="10" customHeight="1" spans="1:26">
      <c r="A10" s="21">
        <v>45482</v>
      </c>
      <c r="D10" s="22"/>
      <c r="E10" s="23" t="e">
        <f t="shared" si="0"/>
        <v>#DIV/0!</v>
      </c>
      <c r="F10" s="24" t="e">
        <f t="shared" si="1"/>
        <v>#DIV/0!</v>
      </c>
      <c r="G10" s="25"/>
      <c r="H10" s="26">
        <f t="shared" si="5"/>
        <v>-1</v>
      </c>
      <c r="J10" s="27" t="s">
        <v>32</v>
      </c>
      <c r="K10">
        <v>5037.61</v>
      </c>
      <c r="L10">
        <v>55351.44</v>
      </c>
      <c r="M10">
        <f t="shared" si="6"/>
        <v>45338.49</v>
      </c>
      <c r="N10">
        <f t="shared" si="3"/>
        <v>4975.34</v>
      </c>
      <c r="O10" s="3">
        <f t="shared" si="7"/>
        <v>0.340038675</v>
      </c>
      <c r="P10" s="28">
        <f t="shared" si="8"/>
        <v>0.37358018775</v>
      </c>
      <c r="Q10">
        <f t="shared" si="4"/>
        <v>50313.83</v>
      </c>
    </row>
    <row r="11" customHeight="1" spans="1:26">
      <c r="A11" s="21">
        <v>45483</v>
      </c>
      <c r="D11" s="29"/>
      <c r="E11" s="23" t="e">
        <f t="shared" si="0"/>
        <v>#DIV/0!</v>
      </c>
      <c r="F11" s="24" t="e">
        <f t="shared" si="1"/>
        <v>#DIV/0!</v>
      </c>
      <c r="G11" s="25"/>
      <c r="H11" s="26">
        <f t="shared" si="5"/>
        <v>-1</v>
      </c>
      <c r="J11" s="27" t="s">
        <v>33</v>
      </c>
      <c r="K11">
        <v>5318.09</v>
      </c>
      <c r="L11">
        <v>57495.92</v>
      </c>
      <c r="M11">
        <f t="shared" si="6"/>
        <v>47862.81</v>
      </c>
      <c r="N11">
        <f t="shared" si="3"/>
        <v>4315.02</v>
      </c>
      <c r="O11" s="3">
        <f t="shared" si="7"/>
        <v>0.358971075</v>
      </c>
      <c r="P11" s="28">
        <f t="shared" si="8"/>
        <v>0.38742038775</v>
      </c>
      <c r="Q11">
        <f t="shared" si="4"/>
        <v>52177.83</v>
      </c>
    </row>
    <row r="12" customHeight="1" spans="1:26">
      <c r="A12" s="21">
        <v>45484</v>
      </c>
      <c r="B12">
        <v>1813</v>
      </c>
      <c r="C12">
        <v>719601.73</v>
      </c>
      <c r="D12" s="29">
        <v>773.37</v>
      </c>
      <c r="E12" s="23">
        <f t="shared" si="0"/>
        <v>0.246454672086461</v>
      </c>
      <c r="F12" s="24">
        <f t="shared" si="1"/>
        <v>0.426569222283508</v>
      </c>
      <c r="G12" s="25"/>
      <c r="H12" s="26">
        <f t="shared" si="5"/>
        <v>-1</v>
      </c>
      <c r="J12" s="27" t="s">
        <v>54</v>
      </c>
      <c r="K12">
        <v>4920</v>
      </c>
      <c r="L12">
        <v>54963.83</v>
      </c>
      <c r="M12">
        <f t="shared" si="6"/>
        <v>44280</v>
      </c>
      <c r="N12">
        <f t="shared" si="3"/>
        <v>5763.83</v>
      </c>
      <c r="O12" s="3">
        <f t="shared" si="7"/>
        <v>0.3321</v>
      </c>
      <c r="P12" s="28">
        <f t="shared" si="8"/>
        <v>0.37157543775</v>
      </c>
      <c r="Q12">
        <f t="shared" si="4"/>
        <v>50043.83</v>
      </c>
    </row>
    <row r="13" customHeight="1" spans="1:26">
      <c r="A13" s="21">
        <v>45485</v>
      </c>
      <c r="D13" s="22"/>
      <c r="E13" s="23" t="e">
        <f t="shared" si="0"/>
        <v>#DIV/0!</v>
      </c>
      <c r="F13" s="24" t="e">
        <f t="shared" si="1"/>
        <v>#DIV/0!</v>
      </c>
      <c r="G13" s="25"/>
      <c r="H13" s="26">
        <f t="shared" si="5"/>
        <v>-1</v>
      </c>
      <c r="J13" s="27" t="s">
        <v>55</v>
      </c>
      <c r="K13">
        <v>2681.53</v>
      </c>
      <c r="L13">
        <v>32609.84</v>
      </c>
      <c r="M13">
        <f t="shared" si="6"/>
        <v>24133.77</v>
      </c>
      <c r="N13">
        <f t="shared" si="3"/>
        <v>5794.54</v>
      </c>
      <c r="O13" s="3">
        <f t="shared" si="7"/>
        <v>0.181003275</v>
      </c>
      <c r="P13" s="28">
        <f t="shared" si="8"/>
        <v>0.22221770175</v>
      </c>
      <c r="Q13">
        <f t="shared" si="4"/>
        <v>29928.31</v>
      </c>
    </row>
    <row r="14" customHeight="1" spans="1:26">
      <c r="A14" s="21">
        <v>45486</v>
      </c>
      <c r="D14" s="29"/>
      <c r="E14" s="23" t="e">
        <f t="shared" si="0"/>
        <v>#DIV/0!</v>
      </c>
      <c r="F14" s="24" t="e">
        <f t="shared" si="1"/>
        <v>#DIV/0!</v>
      </c>
      <c r="G14" s="25"/>
      <c r="H14" s="26">
        <f t="shared" si="5"/>
        <v>-1</v>
      </c>
      <c r="J14" s="27" t="s">
        <v>40</v>
      </c>
      <c r="K14">
        <v>7.23</v>
      </c>
      <c r="L14">
        <v>139.84</v>
      </c>
      <c r="M14">
        <f t="shared" si="6"/>
        <v>65.07</v>
      </c>
      <c r="N14">
        <f t="shared" si="3"/>
        <v>67.54</v>
      </c>
      <c r="O14" s="3">
        <f t="shared" si="7"/>
        <v>0.000488025</v>
      </c>
      <c r="P14" s="28">
        <f t="shared" si="8"/>
        <v>0.00098462925</v>
      </c>
      <c r="Q14">
        <f t="shared" si="4"/>
        <v>132.61</v>
      </c>
    </row>
    <row r="15" customHeight="1" spans="1:26">
      <c r="A15" s="21">
        <v>45487</v>
      </c>
      <c r="B15">
        <v>1960</v>
      </c>
      <c r="C15">
        <v>798447.55</v>
      </c>
      <c r="D15" s="22">
        <v>804.26</v>
      </c>
      <c r="E15" s="23">
        <f t="shared" si="0"/>
        <v>0.230989378325477</v>
      </c>
      <c r="F15" s="24">
        <f t="shared" si="1"/>
        <v>0.410336734693878</v>
      </c>
      <c r="G15" s="25"/>
      <c r="H15" s="26">
        <f t="shared" si="5"/>
        <v>-1</v>
      </c>
      <c r="J15" s="27" t="s">
        <v>42</v>
      </c>
      <c r="M15">
        <f t="shared" si="6"/>
        <v>0</v>
      </c>
      <c r="N15">
        <f t="shared" si="3"/>
        <v>0</v>
      </c>
      <c r="O15" s="3">
        <f t="shared" si="7"/>
        <v>0</v>
      </c>
      <c r="P15" s="28">
        <f t="shared" si="8"/>
        <v>0</v>
      </c>
      <c r="Q15">
        <f t="shared" si="4"/>
        <v>0</v>
      </c>
    </row>
    <row r="16" customHeight="1" spans="1:26">
      <c r="A16" s="21">
        <v>45488</v>
      </c>
      <c r="B16">
        <v>2153</v>
      </c>
      <c r="C16">
        <v>899079.34</v>
      </c>
      <c r="D16" s="29">
        <v>929.48</v>
      </c>
      <c r="E16" s="23">
        <f t="shared" si="0"/>
        <v>0.237074020186027</v>
      </c>
      <c r="F16" s="24">
        <f t="shared" si="1"/>
        <v>0.431713887598699</v>
      </c>
      <c r="G16" s="25"/>
      <c r="H16" s="26">
        <f t="shared" si="5"/>
        <v>-1</v>
      </c>
      <c r="J16" s="27" t="s">
        <v>43</v>
      </c>
      <c r="M16">
        <f t="shared" si="6"/>
        <v>0</v>
      </c>
      <c r="N16">
        <f t="shared" si="3"/>
        <v>0</v>
      </c>
      <c r="O16" s="3">
        <f t="shared" si="7"/>
        <v>0</v>
      </c>
      <c r="P16" s="28">
        <f t="shared" si="8"/>
        <v>0</v>
      </c>
      <c r="Q16">
        <f t="shared" si="4"/>
        <v>0</v>
      </c>
    </row>
    <row r="17" customHeight="1" spans="1:17">
      <c r="A17" s="21">
        <v>45489</v>
      </c>
      <c r="D17" s="29"/>
      <c r="E17" s="23" t="e">
        <f t="shared" si="0"/>
        <v>#DIV/0!</v>
      </c>
      <c r="F17" s="24" t="e">
        <f t="shared" si="1"/>
        <v>#DIV/0!</v>
      </c>
      <c r="G17" s="25"/>
      <c r="H17" s="26">
        <f t="shared" si="5"/>
        <v>-1</v>
      </c>
      <c r="J17" s="27" t="s">
        <v>44</v>
      </c>
      <c r="M17">
        <f t="shared" si="6"/>
        <v>0</v>
      </c>
      <c r="N17">
        <f t="shared" si="3"/>
        <v>0</v>
      </c>
      <c r="O17" s="3">
        <f t="shared" si="7"/>
        <v>0</v>
      </c>
      <c r="P17" s="28">
        <f t="shared" si="8"/>
        <v>0</v>
      </c>
      <c r="Q17">
        <f t="shared" si="4"/>
        <v>0</v>
      </c>
    </row>
    <row r="18" customHeight="1" spans="1:17">
      <c r="A18" s="21">
        <v>45490</v>
      </c>
      <c r="B18">
        <v>2264</v>
      </c>
      <c r="C18">
        <v>945004.85</v>
      </c>
      <c r="D18" s="22">
        <v>955.39</v>
      </c>
      <c r="E18" s="23">
        <f t="shared" si="0"/>
        <v>0.231840116799401</v>
      </c>
      <c r="F18" s="24">
        <f t="shared" si="1"/>
        <v>0.421992049469965</v>
      </c>
      <c r="G18" s="25">
        <f>C18+332916+23499+10000</f>
        <v>1311419.85</v>
      </c>
      <c r="H18" s="26">
        <f>(G18-1320000)/1320000</f>
        <v>-0.00650011363636357</v>
      </c>
      <c r="J18" s="27" t="s">
        <v>45</v>
      </c>
      <c r="M18">
        <f t="shared" si="6"/>
        <v>0</v>
      </c>
      <c r="N18">
        <f t="shared" si="3"/>
        <v>0</v>
      </c>
      <c r="O18" s="3">
        <f t="shared" si="7"/>
        <v>0</v>
      </c>
      <c r="P18" s="28">
        <f t="shared" si="8"/>
        <v>0</v>
      </c>
      <c r="Q18">
        <f t="shared" si="4"/>
        <v>0</v>
      </c>
    </row>
    <row r="19" customHeight="1" spans="1:17">
      <c r="A19" s="21">
        <v>45491</v>
      </c>
      <c r="B19">
        <v>2388</v>
      </c>
      <c r="C19">
        <v>994321.99</v>
      </c>
      <c r="D19" s="22">
        <v>992.36</v>
      </c>
      <c r="E19" s="23">
        <f t="shared" si="0"/>
        <v>0.228867507194526</v>
      </c>
      <c r="F19" s="24">
        <f t="shared" si="1"/>
        <v>0.415561139028476</v>
      </c>
      <c r="G19" s="25">
        <f>C19+48400+273145</f>
        <v>1315866.99</v>
      </c>
      <c r="H19" s="26">
        <f>(G19-1320000)/1320000</f>
        <v>-0.00313106818181819</v>
      </c>
    </row>
    <row r="20" customHeight="1" spans="1:17">
      <c r="A20" s="21">
        <v>45492</v>
      </c>
      <c r="B20">
        <v>2381</v>
      </c>
      <c r="C20">
        <v>1006455.24</v>
      </c>
      <c r="D20" s="29">
        <v>1016.93</v>
      </c>
      <c r="E20" s="23">
        <f t="shared" si="0"/>
        <v>0.231706665464825</v>
      </c>
      <c r="F20" s="24">
        <f t="shared" si="1"/>
        <v>0.427102057958841</v>
      </c>
      <c r="G20" s="25">
        <f>C20+10000+281542</f>
        <v>1297997.24</v>
      </c>
      <c r="H20" s="26">
        <f>(G20-1400000)/1400000</f>
        <v>-0.0728591142857143</v>
      </c>
    </row>
    <row r="21" customHeight="1" spans="1:17">
      <c r="A21" s="21">
        <v>45493</v>
      </c>
      <c r="B21">
        <v>2361</v>
      </c>
      <c r="C21">
        <v>1002873.48</v>
      </c>
      <c r="D21" s="22">
        <v>1020.35</v>
      </c>
      <c r="E21" s="23">
        <f t="shared" si="0"/>
        <v>0.233316232472316</v>
      </c>
      <c r="F21" s="24">
        <f t="shared" si="1"/>
        <v>0.432168572638712</v>
      </c>
      <c r="G21" s="25"/>
      <c r="H21" s="26">
        <f t="shared" ref="H21:H33" si="9">(G21-1320000)/1320000</f>
        <v>-1</v>
      </c>
    </row>
    <row r="22" customHeight="1" spans="1:17">
      <c r="A22" s="21">
        <v>45497</v>
      </c>
      <c r="B22">
        <v>2220</v>
      </c>
      <c r="C22">
        <v>972769.37</v>
      </c>
      <c r="D22" s="22">
        <v>977.78</v>
      </c>
      <c r="E22" s="23">
        <f t="shared" si="0"/>
        <v>0.230501202561507</v>
      </c>
      <c r="F22" s="24">
        <f t="shared" si="1"/>
        <v>0.440441441441441</v>
      </c>
      <c r="G22" s="25"/>
      <c r="H22" s="26">
        <f t="shared" si="9"/>
        <v>-1</v>
      </c>
    </row>
    <row r="23" customHeight="1" spans="1:17">
      <c r="A23" s="21">
        <v>45498</v>
      </c>
      <c r="B23">
        <v>2188</v>
      </c>
      <c r="C23">
        <v>988753.96</v>
      </c>
      <c r="D23" s="22">
        <v>979.53</v>
      </c>
      <c r="E23" s="23">
        <f t="shared" si="0"/>
        <v>0.227180702871724</v>
      </c>
      <c r="F23" s="24">
        <f t="shared" si="1"/>
        <v>0.44768281535649</v>
      </c>
      <c r="G23" s="25"/>
      <c r="H23" s="26">
        <f t="shared" si="9"/>
        <v>-1</v>
      </c>
    </row>
    <row r="24" customHeight="1" spans="1:17">
      <c r="A24" s="21">
        <v>45502</v>
      </c>
      <c r="B24">
        <v>2246</v>
      </c>
      <c r="C24">
        <v>1043666.82</v>
      </c>
      <c r="D24" s="29">
        <v>1053.84</v>
      </c>
      <c r="E24" s="23">
        <f t="shared" si="0"/>
        <v>0.231555304977502</v>
      </c>
      <c r="F24" s="24">
        <f t="shared" si="1"/>
        <v>0.469207479964381</v>
      </c>
      <c r="G24" s="25">
        <f>C24+54000+252816</f>
        <v>1350482.82</v>
      </c>
      <c r="H24" s="26">
        <f t="shared" si="9"/>
        <v>0.0230930454545453</v>
      </c>
    </row>
    <row r="25" customHeight="1" spans="1:17">
      <c r="A25" s="21">
        <v>45506</v>
      </c>
      <c r="B25">
        <v>2218</v>
      </c>
      <c r="C25">
        <v>1042653.4</v>
      </c>
      <c r="D25" s="29">
        <v>1028.61</v>
      </c>
      <c r="E25" s="23">
        <f t="shared" si="0"/>
        <v>0.226231310615781</v>
      </c>
      <c r="F25" s="24">
        <f t="shared" si="1"/>
        <v>0.463755635707845</v>
      </c>
      <c r="G25" s="25">
        <f>C25+64000+248509</f>
        <v>1355162.4</v>
      </c>
      <c r="H25" s="26">
        <f t="shared" si="9"/>
        <v>0.0266381818181817</v>
      </c>
    </row>
    <row r="26" customHeight="1" spans="1:17">
      <c r="A26" s="21">
        <v>45520</v>
      </c>
      <c r="B26">
        <v>1825</v>
      </c>
      <c r="C26">
        <v>945574.42</v>
      </c>
      <c r="D26" s="29">
        <v>865.96</v>
      </c>
      <c r="E26" s="23">
        <f t="shared" si="0"/>
        <v>0.210011970501486</v>
      </c>
      <c r="F26" s="24">
        <f t="shared" si="1"/>
        <v>0.474498630136986</v>
      </c>
      <c r="G26" s="25">
        <f>C26+320430.03+128888.68+8145.64</f>
        <v>1403038.77</v>
      </c>
      <c r="H26" s="26">
        <f t="shared" si="9"/>
        <v>0.0629081590909091</v>
      </c>
      <c r="J26" s="6">
        <v>45560</v>
      </c>
      <c r="N26" s="30" t="s">
        <v>56</v>
      </c>
    </row>
    <row r="27" customHeight="1" spans="1:17">
      <c r="A27" s="21">
        <v>45532</v>
      </c>
      <c r="B27">
        <v>1736</v>
      </c>
      <c r="C27">
        <v>942995.62</v>
      </c>
      <c r="D27" s="29">
        <v>842.11</v>
      </c>
      <c r="E27" s="23">
        <f t="shared" si="0"/>
        <v>0.204786386176428</v>
      </c>
      <c r="F27" s="24">
        <f t="shared" si="1"/>
        <v>0.485086405529954</v>
      </c>
      <c r="G27" s="25">
        <f>C27+274035.53+185751.68+5745.64</f>
        <v>1408528.47</v>
      </c>
      <c r="H27" s="26">
        <f t="shared" si="9"/>
        <v>0.0670670227272725</v>
      </c>
      <c r="J27" t="s">
        <v>57</v>
      </c>
      <c r="K27" t="s">
        <v>58</v>
      </c>
      <c r="L27" t="s">
        <v>59</v>
      </c>
      <c r="N27" t="s">
        <v>57</v>
      </c>
      <c r="O27" t="s">
        <v>58</v>
      </c>
      <c r="P27" t="s">
        <v>59</v>
      </c>
    </row>
    <row r="28" customHeight="1" spans="1:17">
      <c r="A28" s="21">
        <v>45553</v>
      </c>
      <c r="B28">
        <v>1666</v>
      </c>
      <c r="C28">
        <v>973153.36</v>
      </c>
      <c r="D28" s="29">
        <v>873.94</v>
      </c>
      <c r="E28" s="23">
        <f t="shared" si="0"/>
        <v>0.205940737644887</v>
      </c>
      <c r="F28" s="24">
        <f t="shared" si="1"/>
        <v>0.524573829531813</v>
      </c>
      <c r="G28" s="25">
        <f>C28+244470+233220+5706.64</f>
        <v>1456550</v>
      </c>
      <c r="H28" s="26">
        <f t="shared" si="9"/>
        <v>0.10344696969697</v>
      </c>
      <c r="J28">
        <v>225</v>
      </c>
      <c r="K28">
        <v>50</v>
      </c>
      <c r="L28">
        <v>1679</v>
      </c>
      <c r="N28">
        <v>18</v>
      </c>
      <c r="O28">
        <v>1</v>
      </c>
      <c r="P28">
        <v>1647</v>
      </c>
    </row>
    <row r="29" customHeight="1" spans="1:17">
      <c r="A29" s="21">
        <v>45554</v>
      </c>
      <c r="B29">
        <v>1744</v>
      </c>
      <c r="C29">
        <v>1055188.56</v>
      </c>
      <c r="D29" s="29">
        <v>908.21</v>
      </c>
      <c r="E29" s="23">
        <f t="shared" si="0"/>
        <v>0.197377724792619</v>
      </c>
      <c r="F29" s="24">
        <f t="shared" si="1"/>
        <v>0.520762614678899</v>
      </c>
      <c r="G29" s="25">
        <f>C29+303047+89130+12422</f>
        <v>1459787.56</v>
      </c>
      <c r="H29" s="26">
        <f t="shared" si="9"/>
        <v>0.105899666666667</v>
      </c>
    </row>
    <row r="30" customHeight="1" spans="1:17">
      <c r="A30" s="21">
        <v>45560</v>
      </c>
      <c r="B30">
        <v>1679</v>
      </c>
      <c r="C30">
        <v>1006710.74</v>
      </c>
      <c r="D30" s="29">
        <v>898.29</v>
      </c>
      <c r="E30" s="23">
        <f t="shared" si="0"/>
        <v>0.204622693108449</v>
      </c>
      <c r="F30" s="24">
        <f t="shared" si="1"/>
        <v>0.535014889815366</v>
      </c>
      <c r="G30" s="25">
        <f>C30+7000+469234</f>
        <v>1482944.74</v>
      </c>
      <c r="H30" s="26">
        <f t="shared" si="9"/>
        <v>0.123442984848485</v>
      </c>
      <c r="O30" t="s">
        <v>60</v>
      </c>
      <c r="P30">
        <f>L28-P28</f>
        <v>32</v>
      </c>
    </row>
    <row r="31" customHeight="1" spans="1:17">
      <c r="A31" s="21">
        <v>45561</v>
      </c>
      <c r="B31">
        <v>1650</v>
      </c>
      <c r="C31">
        <v>1008824.74</v>
      </c>
      <c r="D31" s="29">
        <v>888.74</v>
      </c>
      <c r="E31" s="23">
        <f t="shared" si="0"/>
        <v>0.202023055858047</v>
      </c>
      <c r="F31" s="24">
        <f t="shared" si="1"/>
        <v>0.538630303030303</v>
      </c>
      <c r="G31" s="25">
        <f>C31+9000+490195</f>
        <v>1508019.74</v>
      </c>
      <c r="H31" s="26">
        <f t="shared" si="9"/>
        <v>0.142439196969697</v>
      </c>
      <c r="O31" t="s">
        <v>61</v>
      </c>
      <c r="P31">
        <f>K28+P30</f>
        <v>82</v>
      </c>
    </row>
    <row r="32" customHeight="1" spans="1:17">
      <c r="A32" s="21">
        <v>45562</v>
      </c>
      <c r="B32">
        <v>1634</v>
      </c>
      <c r="C32">
        <v>991276.15</v>
      </c>
      <c r="D32" s="29">
        <v>894.32</v>
      </c>
      <c r="E32" s="23">
        <f t="shared" si="0"/>
        <v>0.206890342716306</v>
      </c>
      <c r="F32" s="24">
        <f t="shared" si="1"/>
        <v>0.547319461444308</v>
      </c>
      <c r="G32" s="25">
        <f>C32+10000+498926</f>
        <v>1500202.15</v>
      </c>
      <c r="H32" s="26">
        <f t="shared" si="9"/>
        <v>0.13651678030303</v>
      </c>
      <c r="O32" t="s">
        <v>62</v>
      </c>
      <c r="P32" s="26">
        <f>(J28-P31)/J28</f>
        <v>0.635555555555556</v>
      </c>
    </row>
    <row r="33" customHeight="1" spans="1:17">
      <c r="A33" s="21">
        <v>45563</v>
      </c>
      <c r="B33">
        <v>1802</v>
      </c>
      <c r="C33">
        <v>1099323.44</v>
      </c>
      <c r="D33" s="29">
        <v>1028.09</v>
      </c>
      <c r="E33" s="23">
        <f t="shared" si="0"/>
        <v>0.214460631167839</v>
      </c>
      <c r="F33" s="24">
        <f t="shared" si="1"/>
        <v>0.570527192008879</v>
      </c>
      <c r="G33" s="25">
        <f>C33+11000+408926</f>
        <v>1519249.44</v>
      </c>
      <c r="H33" s="26">
        <f t="shared" si="9"/>
        <v>0.150946545454545</v>
      </c>
    </row>
    <row r="34" customHeight="1" spans="1:17">
      <c r="A34" s="21">
        <v>45564</v>
      </c>
      <c r="B34">
        <v>1895</v>
      </c>
      <c r="C34">
        <v>1171001.33</v>
      </c>
      <c r="D34" s="29">
        <v>1103.13</v>
      </c>
      <c r="E34" s="23">
        <f t="shared" si="0"/>
        <v>0.216028594604585</v>
      </c>
      <c r="F34" s="24">
        <f t="shared" si="1"/>
        <v>0.582126649076517</v>
      </c>
      <c r="G34" s="25">
        <f>C34+47000+325139.9</f>
        <v>1543141.23</v>
      </c>
      <c r="H34" s="26">
        <f>(G34-1380000)/1380000</f>
        <v>0.118218282608696</v>
      </c>
    </row>
    <row r="35" customHeight="1" spans="1:17">
      <c r="A35" s="21">
        <v>45565</v>
      </c>
      <c r="B35">
        <v>1941</v>
      </c>
      <c r="C35">
        <v>1217875.77</v>
      </c>
      <c r="D35" s="29">
        <v>1162.82</v>
      </c>
      <c r="E35" s="23">
        <f t="shared" si="0"/>
        <v>0.218953270085996</v>
      </c>
      <c r="F35" s="24">
        <f t="shared" si="1"/>
        <v>0.59908294693457</v>
      </c>
      <c r="G35" s="25">
        <f>C35+10000+327317.66</f>
        <v>1555193.43</v>
      </c>
      <c r="H35" s="26">
        <f>(G35-1380000)/1380000</f>
        <v>0.126951760869565</v>
      </c>
      <c r="I35" s="26">
        <f>H35/(5/12)</f>
        <v>0.304684226086956</v>
      </c>
    </row>
    <row r="36" customHeight="1" spans="1:17">
      <c r="A36" s="21">
        <v>45566</v>
      </c>
      <c r="B36">
        <v>1955</v>
      </c>
      <c r="C36">
        <v>1221412.35</v>
      </c>
      <c r="D36" s="29">
        <v>1174.89</v>
      </c>
      <c r="E36" s="23">
        <f t="shared" si="0"/>
        <v>0.220585435213587</v>
      </c>
      <c r="F36" s="24">
        <f t="shared" si="1"/>
        <v>0.600966751918159</v>
      </c>
      <c r="G36" s="25">
        <f>C36+17000+391090</f>
        <v>1629502.35</v>
      </c>
      <c r="H36" s="26">
        <f>(G36-1460000)/1460000</f>
        <v>0.1160975</v>
      </c>
    </row>
    <row r="37" customHeight="1" spans="1:17">
      <c r="A37" s="21">
        <v>45567</v>
      </c>
      <c r="B37">
        <v>2028</v>
      </c>
      <c r="C37">
        <v>1266469.54</v>
      </c>
      <c r="D37" s="29">
        <v>1234.15</v>
      </c>
      <c r="E37" s="23">
        <f t="shared" si="0"/>
        <v>0.223467891695208</v>
      </c>
      <c r="F37" s="24">
        <f t="shared" si="1"/>
        <v>0.608555226824458</v>
      </c>
      <c r="G37" s="25">
        <f>C37+38000+374434.48</f>
        <v>1678904.02</v>
      </c>
      <c r="H37" s="26">
        <f>(G37-1500000)/1500000</f>
        <v>0.119269346666667</v>
      </c>
    </row>
    <row r="38" customHeight="1" spans="1:17">
      <c r="A38" s="21">
        <v>45568</v>
      </c>
      <c r="B38">
        <v>2060</v>
      </c>
      <c r="C38">
        <v>1268427.05</v>
      </c>
      <c r="D38" s="29">
        <v>1254.46</v>
      </c>
      <c r="E38" s="23">
        <f t="shared" si="0"/>
        <v>0.226794885208416</v>
      </c>
      <c r="F38" s="24">
        <f t="shared" si="1"/>
        <v>0.608961165048544</v>
      </c>
      <c r="G38" s="25">
        <f>C38+24500+382317</f>
        <v>1675244.05</v>
      </c>
      <c r="H38" s="26">
        <f>(G38-1500000)/1500000</f>
        <v>0.116829366666667</v>
      </c>
      <c r="M38" t="s">
        <v>63</v>
      </c>
      <c r="N38" t="s">
        <v>64</v>
      </c>
      <c r="O38" t="s">
        <v>65</v>
      </c>
      <c r="P38" t="s">
        <v>66</v>
      </c>
    </row>
    <row r="39" customHeight="1" spans="1:17">
      <c r="A39" s="21">
        <v>45569</v>
      </c>
      <c r="B39">
        <v>2061</v>
      </c>
      <c r="C39">
        <v>1263509</v>
      </c>
      <c r="D39" s="29">
        <v>1250.6</v>
      </c>
      <c r="E39" s="23">
        <f t="shared" si="0"/>
        <v>0.226977086827241</v>
      </c>
      <c r="F39" s="24">
        <f t="shared" si="1"/>
        <v>0.606792819019893</v>
      </c>
      <c r="G39" s="25">
        <f>C39+20000+403538</f>
        <v>1687047</v>
      </c>
      <c r="H39" s="26">
        <f>(G39-1540000)/1540000</f>
        <v>0.0954850649350649</v>
      </c>
      <c r="M39">
        <v>200</v>
      </c>
      <c r="N39">
        <v>150</v>
      </c>
      <c r="O39">
        <f>M39*N39</f>
        <v>30000</v>
      </c>
      <c r="P39">
        <v>3</v>
      </c>
      <c r="Q39">
        <f>O39*P39</f>
        <v>90000</v>
      </c>
    </row>
    <row r="40" customHeight="1" spans="1:17">
      <c r="A40" s="21">
        <v>45570</v>
      </c>
      <c r="B40">
        <v>2047</v>
      </c>
      <c r="C40">
        <v>1255752.59</v>
      </c>
      <c r="D40" s="29">
        <v>1244.1</v>
      </c>
      <c r="E40" s="23">
        <f t="shared" si="0"/>
        <v>0.227192055403206</v>
      </c>
      <c r="F40" s="24">
        <f t="shared" si="1"/>
        <v>0.607767464582316</v>
      </c>
      <c r="G40" s="25">
        <f>C40+10000+421939</f>
        <v>1687691.59</v>
      </c>
      <c r="H40" s="26">
        <f>(G40-1540000)/1540000</f>
        <v>0.0959036298701299</v>
      </c>
      <c r="M40">
        <v>400</v>
      </c>
      <c r="N40">
        <v>200</v>
      </c>
      <c r="O40">
        <f>M40*N40</f>
        <v>80000</v>
      </c>
      <c r="P40">
        <v>1</v>
      </c>
      <c r="Q40">
        <f>O40*P40</f>
        <v>80000</v>
      </c>
    </row>
    <row r="41" customHeight="1" spans="1:17">
      <c r="A41" s="21">
        <v>45572</v>
      </c>
      <c r="B41">
        <v>2072</v>
      </c>
      <c r="C41">
        <v>1277586.35</v>
      </c>
      <c r="D41" s="29">
        <v>1230.03</v>
      </c>
      <c r="E41" s="23">
        <f t="shared" si="0"/>
        <v>0.220783886427716</v>
      </c>
      <c r="F41" s="24">
        <f t="shared" si="1"/>
        <v>0.593643822393822</v>
      </c>
      <c r="G41" s="25">
        <f>C41+3000+431154.78</f>
        <v>1711741.13</v>
      </c>
      <c r="H41" s="26">
        <f>(G41-1540000)/1540000</f>
        <v>0.111520214285714</v>
      </c>
      <c r="M41">
        <v>350000</v>
      </c>
    </row>
    <row r="42" customHeight="1" spans="1:17">
      <c r="A42" s="21">
        <v>45573</v>
      </c>
      <c r="B42">
        <v>2133</v>
      </c>
      <c r="C42">
        <v>1311820.51</v>
      </c>
      <c r="D42" s="29">
        <v>1267.71</v>
      </c>
      <c r="E42" s="23">
        <f t="shared" si="0"/>
        <v>0.221609019666875</v>
      </c>
      <c r="F42" s="24">
        <f t="shared" si="1"/>
        <v>0.594331926863573</v>
      </c>
      <c r="G42" s="25">
        <f>C42+10000+390412</f>
        <v>1712232.51</v>
      </c>
      <c r="H42" s="26">
        <f>(G42-1550000)/1550000</f>
        <v>0.104666135483871</v>
      </c>
      <c r="M42">
        <v>80000</v>
      </c>
    </row>
    <row r="43" customHeight="1" spans="1:17">
      <c r="A43" s="21">
        <v>45574</v>
      </c>
      <c r="B43">
        <v>2244</v>
      </c>
      <c r="C43">
        <v>1379323.16</v>
      </c>
      <c r="D43" s="29">
        <v>1329.68</v>
      </c>
      <c r="E43" s="23">
        <f t="shared" si="0"/>
        <v>0.221066553830648</v>
      </c>
      <c r="F43" s="24">
        <f t="shared" si="1"/>
        <v>0.592549019607843</v>
      </c>
      <c r="G43" s="25">
        <f>C43+11000+317833</f>
        <v>1708156.16</v>
      </c>
      <c r="H43" s="26">
        <f>(G43-1550000)/1550000</f>
        <v>0.102036232258064</v>
      </c>
      <c r="M43">
        <v>100000</v>
      </c>
    </row>
    <row r="44" customHeight="1" spans="1:17">
      <c r="A44" s="21">
        <v>45575</v>
      </c>
      <c r="B44">
        <v>2229</v>
      </c>
      <c r="C44">
        <v>1369288.7</v>
      </c>
      <c r="D44" s="29">
        <v>1298.74</v>
      </c>
      <c r="E44" s="23">
        <f t="shared" si="0"/>
        <v>0.217504940192671</v>
      </c>
      <c r="F44" s="24">
        <f t="shared" si="1"/>
        <v>0.582655899506505</v>
      </c>
      <c r="G44" s="25">
        <f>C44+3000+334126</f>
        <v>1706414.7</v>
      </c>
      <c r="H44" s="26">
        <f>(G44-1550000)/1550000</f>
        <v>0.100912709677419</v>
      </c>
      <c r="M44">
        <v>25500</v>
      </c>
    </row>
    <row r="45" customHeight="1" spans="1:17">
      <c r="A45" s="21">
        <v>45576</v>
      </c>
      <c r="B45">
        <v>2253</v>
      </c>
      <c r="C45">
        <v>1397951.87</v>
      </c>
      <c r="D45" s="29">
        <v>1294.66</v>
      </c>
      <c r="E45" s="23">
        <f t="shared" si="0"/>
        <v>0.212376003474283</v>
      </c>
      <c r="F45" s="24">
        <f t="shared" si="1"/>
        <v>0.574638260097648</v>
      </c>
      <c r="G45" s="25">
        <f>C45+4000+313761</f>
        <v>1715712.87</v>
      </c>
      <c r="H45" s="26">
        <f>(G45-1550000)/1550000</f>
        <v>0.106911529032258</v>
      </c>
      <c r="M45">
        <f>M41*0.06</f>
        <v>21000</v>
      </c>
    </row>
    <row r="46" customHeight="1" spans="1:17">
      <c r="A46" s="21">
        <v>45577</v>
      </c>
      <c r="B46">
        <v>2287</v>
      </c>
      <c r="C46">
        <v>1424043.43</v>
      </c>
      <c r="D46" s="29">
        <v>1297.95</v>
      </c>
      <c r="E46" s="23">
        <f t="shared" si="0"/>
        <v>0.209014618325229</v>
      </c>
      <c r="F46" s="24">
        <f t="shared" si="1"/>
        <v>0.567533887188457</v>
      </c>
      <c r="G46" s="25">
        <f>C46+50000+301367</f>
        <v>1775410.43</v>
      </c>
      <c r="H46" s="26">
        <f t="shared" ref="H46:H109" si="10">(G46-1600000)/1600000</f>
        <v>0.10963151875</v>
      </c>
      <c r="M46">
        <f>M41-M42-M43-M44-M45</f>
        <v>123500</v>
      </c>
    </row>
    <row r="47" customHeight="1" spans="1:17">
      <c r="A47" s="21">
        <v>45582</v>
      </c>
      <c r="B47">
        <v>2276</v>
      </c>
      <c r="C47">
        <v>1461383.37</v>
      </c>
      <c r="D47" s="29">
        <v>1313.87</v>
      </c>
      <c r="E47" s="23">
        <f t="shared" si="0"/>
        <v>0.206172230083609</v>
      </c>
      <c r="F47" s="24">
        <f t="shared" si="1"/>
        <v>0.577271528998243</v>
      </c>
      <c r="G47" s="25">
        <f>C47+50000+337237.88</f>
        <v>1848621.25</v>
      </c>
      <c r="H47" s="26">
        <f t="shared" si="10"/>
        <v>0.15538828125</v>
      </c>
    </row>
    <row r="48" customHeight="1" spans="1:17">
      <c r="A48" s="21">
        <v>45583</v>
      </c>
      <c r="B48">
        <v>2327</v>
      </c>
      <c r="C48">
        <v>1489922.51</v>
      </c>
      <c r="D48" s="29">
        <v>1348.38</v>
      </c>
      <c r="E48" s="23">
        <f t="shared" si="0"/>
        <v>0.207534619770259</v>
      </c>
      <c r="F48" s="24">
        <f t="shared" si="1"/>
        <v>0.579449935539321</v>
      </c>
      <c r="G48" s="25">
        <f>C48+50000+307237.88</f>
        <v>1847160.39</v>
      </c>
      <c r="H48" s="26">
        <f t="shared" si="10"/>
        <v>0.15447524375</v>
      </c>
    </row>
    <row r="49" customHeight="1" spans="1:9">
      <c r="A49" s="21">
        <v>45585</v>
      </c>
      <c r="B49">
        <v>2304</v>
      </c>
      <c r="C49">
        <v>1476188.67</v>
      </c>
      <c r="D49" s="29">
        <v>1348.48</v>
      </c>
      <c r="E49" s="23">
        <f t="shared" si="0"/>
        <v>0.209480969393973</v>
      </c>
      <c r="F49" s="24">
        <f t="shared" si="1"/>
        <v>0.585277777777778</v>
      </c>
      <c r="G49" s="25">
        <f>C49+58000+306875.14</f>
        <v>1841063.81</v>
      </c>
      <c r="H49" s="26">
        <f t="shared" si="10"/>
        <v>0.15066488125</v>
      </c>
    </row>
    <row r="50" customHeight="1" spans="1:9">
      <c r="A50" s="21">
        <v>45589</v>
      </c>
      <c r="B50">
        <v>2302</v>
      </c>
      <c r="C50">
        <v>1463697.9</v>
      </c>
      <c r="D50" s="29">
        <v>1347.96</v>
      </c>
      <c r="E50" s="23">
        <f t="shared" si="0"/>
        <v>0.211187149479411</v>
      </c>
      <c r="F50" s="24">
        <f t="shared" si="1"/>
        <v>0.585560382276281</v>
      </c>
      <c r="G50" s="25">
        <f>C50+62500+300986.76</f>
        <v>1827184.66</v>
      </c>
      <c r="H50" s="26">
        <f t="shared" si="10"/>
        <v>0.1419904125</v>
      </c>
    </row>
    <row r="51" customHeight="1" spans="1:9">
      <c r="A51" s="21">
        <v>45592</v>
      </c>
      <c r="B51">
        <v>2345</v>
      </c>
      <c r="C51">
        <v>1500060.12</v>
      </c>
      <c r="D51" s="29">
        <v>1271.17</v>
      </c>
      <c r="E51" s="23">
        <f t="shared" si="0"/>
        <v>0.194328680906469</v>
      </c>
      <c r="F51" s="24">
        <f t="shared" si="1"/>
        <v>0.542076759061834</v>
      </c>
      <c r="G51" s="25">
        <f>C51+68000+279940.08</f>
        <v>1848000.2</v>
      </c>
      <c r="H51" s="26">
        <f t="shared" si="10"/>
        <v>0.155000125</v>
      </c>
    </row>
    <row r="52" customHeight="1" spans="1:9">
      <c r="A52" s="21">
        <v>45596</v>
      </c>
      <c r="B52">
        <v>2442</v>
      </c>
      <c r="C52">
        <v>1617272.14</v>
      </c>
      <c r="D52" s="29">
        <v>1275.38</v>
      </c>
      <c r="E52" s="23">
        <f t="shared" si="0"/>
        <v>0.180841637202753</v>
      </c>
      <c r="F52" s="24">
        <f t="shared" si="1"/>
        <v>0.522268632268632</v>
      </c>
      <c r="G52" s="25">
        <f>C52+75000+209170.48</f>
        <v>1901442.62</v>
      </c>
      <c r="H52" s="26">
        <f t="shared" si="10"/>
        <v>0.1884016375</v>
      </c>
      <c r="I52" s="26">
        <f>H52/(6/12)</f>
        <v>0.376803275</v>
      </c>
    </row>
    <row r="53" customHeight="1" spans="1:9">
      <c r="A53" s="21">
        <v>45597</v>
      </c>
      <c r="B53">
        <v>2451</v>
      </c>
      <c r="C53">
        <v>1655169.49</v>
      </c>
      <c r="D53" s="29">
        <v>1284.54</v>
      </c>
      <c r="E53" s="23">
        <f t="shared" si="0"/>
        <v>0.177970120026802</v>
      </c>
      <c r="F53" s="24">
        <f t="shared" si="1"/>
        <v>0.524088127294982</v>
      </c>
      <c r="G53" s="25">
        <f>C53+75700+212041.82</f>
        <v>1942911.31</v>
      </c>
      <c r="H53" s="26">
        <f t="shared" si="10"/>
        <v>0.21431956875</v>
      </c>
    </row>
    <row r="54" customHeight="1" spans="1:9">
      <c r="A54" s="21">
        <v>45598</v>
      </c>
      <c r="B54">
        <v>2483</v>
      </c>
      <c r="C54">
        <v>1660640.63</v>
      </c>
      <c r="D54" s="29">
        <v>1364.79</v>
      </c>
      <c r="E54" s="23">
        <f t="shared" si="0"/>
        <v>0.188465606071556</v>
      </c>
      <c r="F54" s="24">
        <f t="shared" si="1"/>
        <v>0.549653644784535</v>
      </c>
      <c r="G54" s="25">
        <f>C54+77000+184694</f>
        <v>1922334.63</v>
      </c>
      <c r="H54" s="26">
        <f t="shared" si="10"/>
        <v>0.20145914375</v>
      </c>
    </row>
    <row r="55" customHeight="1" spans="1:9">
      <c r="A55" s="21">
        <v>45599</v>
      </c>
      <c r="B55">
        <v>2496</v>
      </c>
      <c r="C55">
        <v>1662080.24</v>
      </c>
      <c r="D55" s="29">
        <v>1392.86</v>
      </c>
      <c r="E55" s="23">
        <f t="shared" si="0"/>
        <v>0.192175231684362</v>
      </c>
      <c r="F55" s="24">
        <f t="shared" si="1"/>
        <v>0.558036858974359</v>
      </c>
      <c r="G55" s="25">
        <f>C55+78000+175246.9</f>
        <v>1915327.14</v>
      </c>
      <c r="H55" s="26">
        <f t="shared" si="10"/>
        <v>0.1970794625</v>
      </c>
    </row>
    <row r="56" customHeight="1" spans="1:9">
      <c r="A56" s="21">
        <v>45600</v>
      </c>
      <c r="B56">
        <v>2504</v>
      </c>
      <c r="C56">
        <v>1668900.9</v>
      </c>
      <c r="D56" s="29">
        <v>1424.14</v>
      </c>
      <c r="E56" s="23">
        <f t="shared" si="0"/>
        <v>0.195687943364402</v>
      </c>
      <c r="F56" s="24">
        <f t="shared" si="1"/>
        <v>0.568746006389776</v>
      </c>
      <c r="G56" s="25">
        <f>C56+80000+173588</f>
        <v>1922488.9</v>
      </c>
      <c r="H56" s="26">
        <f t="shared" si="10"/>
        <v>0.2015555625</v>
      </c>
    </row>
    <row r="57" customHeight="1" spans="1:9">
      <c r="A57" s="21">
        <v>45601</v>
      </c>
      <c r="B57">
        <v>2473</v>
      </c>
      <c r="C57">
        <v>1644875.87</v>
      </c>
      <c r="D57" s="29">
        <v>1474.21</v>
      </c>
      <c r="E57" s="23">
        <f t="shared" si="0"/>
        <v>0.205526656063111</v>
      </c>
      <c r="F57" s="24">
        <f t="shared" si="1"/>
        <v>0.596122118883947</v>
      </c>
      <c r="G57" s="25">
        <f>C57+81000+202284.52</f>
        <v>1928160.39</v>
      </c>
      <c r="H57" s="26">
        <f t="shared" si="10"/>
        <v>0.20510024375</v>
      </c>
    </row>
    <row r="58" customHeight="1" spans="1:9">
      <c r="A58" s="21">
        <v>45602</v>
      </c>
      <c r="B58">
        <v>2451</v>
      </c>
      <c r="C58">
        <v>1615596.48</v>
      </c>
      <c r="D58" s="29">
        <v>1541.56</v>
      </c>
      <c r="E58" s="23">
        <f t="shared" si="0"/>
        <v>0.218811159578659</v>
      </c>
      <c r="F58" s="24">
        <f t="shared" si="1"/>
        <v>0.628951448388413</v>
      </c>
      <c r="G58" s="25">
        <f>C58+83000+213665.07</f>
        <v>1912261.55</v>
      </c>
      <c r="H58" s="26">
        <f t="shared" si="10"/>
        <v>0.19516346875</v>
      </c>
    </row>
    <row r="59" customHeight="1" spans="1:9">
      <c r="A59" s="21">
        <v>45603</v>
      </c>
      <c r="B59">
        <v>2450</v>
      </c>
      <c r="C59">
        <v>1596122.78</v>
      </c>
      <c r="D59" s="29">
        <v>1585.02</v>
      </c>
      <c r="E59" s="23">
        <f t="shared" si="0"/>
        <v>0.227724828537313</v>
      </c>
      <c r="F59" s="24">
        <f t="shared" si="1"/>
        <v>0.64694693877551</v>
      </c>
      <c r="G59" s="25">
        <f>C59+85000+213808</f>
        <v>1894930.78</v>
      </c>
      <c r="H59" s="26">
        <f t="shared" si="10"/>
        <v>0.1843317375</v>
      </c>
    </row>
    <row r="60" customHeight="1" spans="1:9">
      <c r="A60" s="21">
        <v>45604</v>
      </c>
      <c r="B60">
        <v>2475</v>
      </c>
      <c r="C60">
        <v>1605654.01</v>
      </c>
      <c r="D60" s="29">
        <v>1605.71</v>
      </c>
      <c r="E60" s="23">
        <f t="shared" si="0"/>
        <v>0.229327996509036</v>
      </c>
      <c r="F60" s="24">
        <f t="shared" si="1"/>
        <v>0.648771717171717</v>
      </c>
      <c r="G60" s="25">
        <f>C60+86000+195372</f>
        <v>1887026.01</v>
      </c>
      <c r="H60" s="26">
        <f t="shared" si="10"/>
        <v>0.17939125625</v>
      </c>
    </row>
    <row r="61" customHeight="1" spans="1:9">
      <c r="A61" s="21">
        <v>45605</v>
      </c>
      <c r="B61">
        <v>2473</v>
      </c>
      <c r="C61">
        <v>1607634.84</v>
      </c>
      <c r="D61" s="29">
        <v>1621.44</v>
      </c>
      <c r="E61" s="23">
        <f t="shared" si="0"/>
        <v>0.231289227844801</v>
      </c>
      <c r="F61" s="24">
        <f t="shared" si="1"/>
        <v>0.655657096643753</v>
      </c>
      <c r="G61" s="25">
        <f>C61+87000+195421</f>
        <v>1890055.84</v>
      </c>
      <c r="H61" s="26">
        <f t="shared" si="10"/>
        <v>0.1812849</v>
      </c>
    </row>
    <row r="62" customHeight="1" spans="1:9">
      <c r="A62" s="21">
        <v>45607</v>
      </c>
      <c r="B62">
        <v>2469</v>
      </c>
      <c r="C62">
        <v>1604450.67</v>
      </c>
      <c r="D62" s="29">
        <v>1630.29</v>
      </c>
      <c r="E62" s="23">
        <f t="shared" si="0"/>
        <v>0.23301314885549</v>
      </c>
      <c r="F62" s="24">
        <f t="shared" si="1"/>
        <v>0.660303766707169</v>
      </c>
      <c r="G62" s="25">
        <f>C62+90000+194003</f>
        <v>1888453.67</v>
      </c>
      <c r="H62" s="26">
        <f t="shared" si="10"/>
        <v>0.18028354375</v>
      </c>
    </row>
    <row r="63" customHeight="1" spans="1:9">
      <c r="A63" s="21">
        <v>45608</v>
      </c>
      <c r="B63">
        <v>2547</v>
      </c>
      <c r="C63">
        <v>1655690.13</v>
      </c>
      <c r="D63" s="29">
        <v>1679.35</v>
      </c>
      <c r="E63" s="23">
        <f t="shared" si="0"/>
        <v>0.232596990839101</v>
      </c>
      <c r="F63" s="24">
        <f t="shared" si="1"/>
        <v>0.659344326658814</v>
      </c>
      <c r="G63" s="25">
        <f>C63+91000+141009</f>
        <v>1887699.13</v>
      </c>
      <c r="H63" s="26">
        <f t="shared" si="10"/>
        <v>0.17981195625</v>
      </c>
    </row>
    <row r="64" customHeight="1" spans="1:9">
      <c r="A64" s="21">
        <v>45609</v>
      </c>
      <c r="B64">
        <v>2556</v>
      </c>
      <c r="C64">
        <v>1671252.64</v>
      </c>
      <c r="D64" s="29">
        <v>1672.55</v>
      </c>
      <c r="E64" s="23">
        <f t="shared" si="0"/>
        <v>0.229498016529685</v>
      </c>
      <c r="F64" s="24">
        <f t="shared" si="1"/>
        <v>0.654362284820031</v>
      </c>
      <c r="G64" s="25">
        <f>C64+95000+131572</f>
        <v>1897824.64</v>
      </c>
      <c r="H64" s="26">
        <f t="shared" si="10"/>
        <v>0.1861404</v>
      </c>
    </row>
    <row r="65" customHeight="1" spans="1:9">
      <c r="A65" s="21">
        <v>45612</v>
      </c>
      <c r="B65">
        <v>2542</v>
      </c>
      <c r="C65">
        <v>1675756.72</v>
      </c>
      <c r="D65" s="29">
        <v>1666.1</v>
      </c>
      <c r="E65" s="23">
        <f t="shared" si="0"/>
        <v>0.227998519976098</v>
      </c>
      <c r="F65" s="24">
        <f t="shared" si="1"/>
        <v>0.655428796223446</v>
      </c>
      <c r="G65" s="25">
        <f>C65+101000+142265</f>
        <v>1919021.72</v>
      </c>
      <c r="H65" s="26">
        <f t="shared" si="10"/>
        <v>0.199388575</v>
      </c>
    </row>
    <row r="66" customHeight="1" spans="1:9">
      <c r="A66" s="21">
        <v>45613</v>
      </c>
      <c r="B66">
        <v>2521</v>
      </c>
      <c r="C66">
        <v>1666849.89</v>
      </c>
      <c r="D66" s="29">
        <v>1654.02</v>
      </c>
      <c r="E66" s="23">
        <f t="shared" ref="E66:E129" si="11">((D66*0.9)*196*1.3)/C66</f>
        <v>0.227554903819204</v>
      </c>
      <c r="F66" s="24">
        <f t="shared" ref="F66:F129" si="12">D66/B66</f>
        <v>0.65609678698929</v>
      </c>
      <c r="G66" s="25">
        <f>C66+101500+156997</f>
        <v>1925346.89</v>
      </c>
      <c r="H66" s="26">
        <f t="shared" si="10"/>
        <v>0.20334180625</v>
      </c>
    </row>
    <row r="67" customHeight="1" spans="1:9">
      <c r="A67" s="21">
        <v>45615</v>
      </c>
      <c r="B67">
        <v>2508</v>
      </c>
      <c r="C67">
        <v>1665109.65</v>
      </c>
      <c r="D67" s="29">
        <v>1660.11</v>
      </c>
      <c r="E67" s="23">
        <f t="shared" si="11"/>
        <v>0.228631444902142</v>
      </c>
      <c r="F67" s="24">
        <f t="shared" si="12"/>
        <v>0.661925837320574</v>
      </c>
      <c r="G67" s="25">
        <f>C67+104500+168428</f>
        <v>1938037.65</v>
      </c>
      <c r="H67" s="26">
        <f t="shared" si="10"/>
        <v>0.21127353125</v>
      </c>
    </row>
    <row r="68" customHeight="1" spans="1:9">
      <c r="A68" s="21">
        <v>45616</v>
      </c>
      <c r="B68">
        <v>2515</v>
      </c>
      <c r="C68">
        <v>1677413.47</v>
      </c>
      <c r="D68" s="29">
        <v>1670.53</v>
      </c>
      <c r="E68" s="23">
        <f t="shared" si="11"/>
        <v>0.22837895751487</v>
      </c>
      <c r="F68" s="24">
        <f t="shared" si="12"/>
        <v>0.664226640159046</v>
      </c>
      <c r="G68" s="25">
        <f>C68+106000+163530</f>
        <v>1946943.47</v>
      </c>
      <c r="H68" s="26">
        <f t="shared" si="10"/>
        <v>0.21683966875</v>
      </c>
    </row>
    <row r="69" customHeight="1" spans="1:9">
      <c r="A69" s="21">
        <v>45618</v>
      </c>
      <c r="B69">
        <v>2496</v>
      </c>
      <c r="C69">
        <v>1681083.33</v>
      </c>
      <c r="D69" s="29">
        <v>1671.18</v>
      </c>
      <c r="E69" s="23">
        <f t="shared" si="11"/>
        <v>0.227969066589935</v>
      </c>
      <c r="F69" s="24">
        <f t="shared" si="12"/>
        <v>0.669543269230769</v>
      </c>
      <c r="G69" s="25">
        <f>C69+109000+173738</f>
        <v>1963821.33</v>
      </c>
      <c r="H69" s="26">
        <f t="shared" si="10"/>
        <v>0.22738833125</v>
      </c>
    </row>
    <row r="70" customHeight="1" spans="1:9">
      <c r="A70" s="21">
        <v>45622</v>
      </c>
      <c r="B70">
        <v>2512</v>
      </c>
      <c r="C70">
        <v>1670087</v>
      </c>
      <c r="D70" s="29">
        <v>1689.87</v>
      </c>
      <c r="E70" s="23">
        <f t="shared" si="11"/>
        <v>0.232036407923659</v>
      </c>
      <c r="F70" s="24">
        <f t="shared" si="12"/>
        <v>0.672718949044586</v>
      </c>
      <c r="G70" s="25">
        <f>C70+113700+165358</f>
        <v>1949145</v>
      </c>
      <c r="H70" s="26">
        <f t="shared" si="10"/>
        <v>0.218215625</v>
      </c>
    </row>
    <row r="71" customHeight="1" spans="1:9">
      <c r="A71" s="21">
        <v>45624</v>
      </c>
      <c r="B71">
        <v>2441</v>
      </c>
      <c r="C71">
        <v>1613668</v>
      </c>
      <c r="D71" s="29">
        <v>1640.53</v>
      </c>
      <c r="E71" s="23">
        <f t="shared" si="11"/>
        <v>0.233137386128993</v>
      </c>
      <c r="F71" s="24">
        <f t="shared" si="12"/>
        <v>0.672072920934043</v>
      </c>
      <c r="G71" s="25">
        <f>C71+118000+214921</f>
        <v>1946589</v>
      </c>
      <c r="H71" s="26">
        <f t="shared" si="10"/>
        <v>0.216618125</v>
      </c>
      <c r="I71" s="26">
        <f>H71/(7/12)</f>
        <v>0.371345357142857</v>
      </c>
    </row>
    <row r="72" customHeight="1" spans="1:9">
      <c r="A72" s="21">
        <v>45629</v>
      </c>
      <c r="B72">
        <v>2442</v>
      </c>
      <c r="C72">
        <v>1614664.82</v>
      </c>
      <c r="D72" s="29">
        <v>1649.85</v>
      </c>
      <c r="E72" s="23">
        <f t="shared" si="11"/>
        <v>0.234317114805288</v>
      </c>
      <c r="F72" s="24">
        <f t="shared" si="12"/>
        <v>0.675614250614251</v>
      </c>
      <c r="G72" s="25">
        <f>C72+126800+213075</f>
        <v>1954539.82</v>
      </c>
      <c r="H72" s="26">
        <f t="shared" si="10"/>
        <v>0.2215873875</v>
      </c>
    </row>
    <row r="73" customHeight="1" spans="1:9">
      <c r="A73" s="21">
        <v>45632</v>
      </c>
      <c r="B73">
        <v>2467</v>
      </c>
      <c r="C73">
        <v>1628996.18</v>
      </c>
      <c r="D73" s="29">
        <v>1674.34</v>
      </c>
      <c r="E73" s="23">
        <f t="shared" si="11"/>
        <v>0.235703222336593</v>
      </c>
      <c r="F73" s="24">
        <f t="shared" si="12"/>
        <v>0.678694770976895</v>
      </c>
      <c r="G73" s="25">
        <f>C73+133800+189221</f>
        <v>1952017.18</v>
      </c>
      <c r="H73" s="26">
        <f t="shared" si="10"/>
        <v>0.2200107375</v>
      </c>
    </row>
    <row r="74" customHeight="1" spans="1:9">
      <c r="A74" s="21">
        <v>45635</v>
      </c>
      <c r="B74">
        <v>2489</v>
      </c>
      <c r="C74">
        <v>1610487.93</v>
      </c>
      <c r="D74" s="29">
        <v>1690.07</v>
      </c>
      <c r="E74" s="23">
        <f t="shared" si="11"/>
        <v>0.24065182059452</v>
      </c>
      <c r="F74" s="24">
        <f t="shared" si="12"/>
        <v>0.679015668943351</v>
      </c>
      <c r="G74" s="25">
        <f>C74+138000+179624</f>
        <v>1928111.93</v>
      </c>
      <c r="H74" s="26">
        <f t="shared" si="10"/>
        <v>0.20506995625</v>
      </c>
    </row>
    <row r="75" customHeight="1" spans="1:9">
      <c r="A75" s="21">
        <v>45638</v>
      </c>
      <c r="B75">
        <v>2482</v>
      </c>
      <c r="C75">
        <v>1577908.79</v>
      </c>
      <c r="D75" s="29">
        <v>1672.1</v>
      </c>
      <c r="E75" s="23">
        <f t="shared" si="11"/>
        <v>0.243008958711739</v>
      </c>
      <c r="F75" s="24">
        <f t="shared" si="12"/>
        <v>0.673690572119259</v>
      </c>
      <c r="G75" s="25">
        <f>C75+141400+185760</f>
        <v>1905068.79</v>
      </c>
      <c r="H75" s="26">
        <f t="shared" si="10"/>
        <v>0.19066799375</v>
      </c>
    </row>
    <row r="76" customHeight="1" spans="1:9">
      <c r="A76" s="21">
        <v>45643</v>
      </c>
      <c r="B76">
        <v>2452</v>
      </c>
      <c r="C76">
        <v>1609597.61</v>
      </c>
      <c r="D76" s="29">
        <v>1600.93</v>
      </c>
      <c r="E76" s="23">
        <f t="shared" si="11"/>
        <v>0.228085122218838</v>
      </c>
      <c r="F76" s="24">
        <f t="shared" si="12"/>
        <v>0.652907830342577</v>
      </c>
      <c r="G76" s="25">
        <f>C76+151000+204968</f>
        <v>1965565.61</v>
      </c>
      <c r="H76" s="26">
        <f t="shared" si="10"/>
        <v>0.22847850625</v>
      </c>
    </row>
    <row r="77" customHeight="1" spans="1:9">
      <c r="A77" s="21">
        <v>45652</v>
      </c>
      <c r="B77">
        <v>2410</v>
      </c>
      <c r="C77">
        <v>1581115.11</v>
      </c>
      <c r="D77" s="29">
        <v>1534.83</v>
      </c>
      <c r="E77" s="23">
        <f t="shared" si="11"/>
        <v>0.222606952127603</v>
      </c>
      <c r="F77" s="24">
        <f t="shared" si="12"/>
        <v>0.636858921161826</v>
      </c>
      <c r="G77" s="25">
        <f>C77+163000+234733</f>
        <v>1978848.11</v>
      </c>
      <c r="H77" s="26">
        <f t="shared" si="10"/>
        <v>0.23678006875</v>
      </c>
    </row>
    <row r="78" customHeight="1" spans="1:9">
      <c r="A78" s="21">
        <v>45653</v>
      </c>
      <c r="B78">
        <v>2397</v>
      </c>
      <c r="C78">
        <v>1556156.007</v>
      </c>
      <c r="D78" s="29">
        <v>1497.03</v>
      </c>
      <c r="E78" s="23">
        <f t="shared" si="11"/>
        <v>0.22060700730245</v>
      </c>
      <c r="F78" s="24">
        <f t="shared" si="12"/>
        <v>0.624543178973717</v>
      </c>
      <c r="G78" s="25">
        <f>C78+168000+248798</f>
        <v>1972954.007</v>
      </c>
      <c r="H78" s="26">
        <f t="shared" si="10"/>
        <v>0.233096254375</v>
      </c>
      <c r="I78" s="26"/>
    </row>
    <row r="79" customHeight="1" spans="1:9">
      <c r="A79" s="21">
        <v>45657</v>
      </c>
      <c r="B79">
        <v>2370</v>
      </c>
      <c r="C79">
        <v>1563721.655</v>
      </c>
      <c r="D79" s="29">
        <v>1509.66</v>
      </c>
      <c r="E79" s="23">
        <f t="shared" si="11"/>
        <v>0.221391850712715</v>
      </c>
      <c r="F79" s="24">
        <f t="shared" si="12"/>
        <v>0.636987341772152</v>
      </c>
      <c r="G79" s="25">
        <f>C79+277768+100000+43367+16098</f>
        <v>2000954.655</v>
      </c>
      <c r="H79" s="26">
        <f t="shared" si="10"/>
        <v>0.250596659375</v>
      </c>
      <c r="I79" s="26">
        <f>H79/(8/12)</f>
        <v>0.3758949890625</v>
      </c>
    </row>
    <row r="80" customHeight="1" spans="1:9">
      <c r="A80" s="21">
        <v>45658</v>
      </c>
      <c r="B80">
        <v>2355</v>
      </c>
      <c r="C80">
        <v>1558889.67</v>
      </c>
      <c r="D80" s="29">
        <v>1495.75</v>
      </c>
      <c r="E80" s="23">
        <f t="shared" si="11"/>
        <v>0.2200318576747</v>
      </c>
      <c r="F80" s="24">
        <f t="shared" si="12"/>
        <v>0.635138004246285</v>
      </c>
      <c r="G80" s="25">
        <f>C80+289732+100000+45367+15098</f>
        <v>2009086.67</v>
      </c>
      <c r="H80" s="26">
        <f t="shared" si="10"/>
        <v>0.25567916875</v>
      </c>
    </row>
    <row r="81" customHeight="1" spans="1:11">
      <c r="A81" s="21">
        <v>45659</v>
      </c>
      <c r="D81" s="29"/>
      <c r="E81" s="23" t="e">
        <f t="shared" si="11"/>
        <v>#DIV/0!</v>
      </c>
      <c r="F81" s="24" t="e">
        <f t="shared" si="12"/>
        <v>#DIV/0!</v>
      </c>
      <c r="G81" s="25"/>
      <c r="H81" s="26">
        <f t="shared" si="10"/>
        <v>-1</v>
      </c>
    </row>
    <row r="82" customHeight="1" spans="1:11">
      <c r="A82" s="21">
        <v>45660</v>
      </c>
      <c r="D82" s="29"/>
      <c r="E82" s="23" t="e">
        <f t="shared" si="11"/>
        <v>#DIV/0!</v>
      </c>
      <c r="F82" s="24" t="e">
        <f t="shared" si="12"/>
        <v>#DIV/0!</v>
      </c>
      <c r="G82" s="25"/>
      <c r="H82" s="26">
        <f t="shared" si="10"/>
        <v>-1</v>
      </c>
    </row>
    <row r="83" customHeight="1" spans="1:11">
      <c r="A83" s="21">
        <v>45661</v>
      </c>
      <c r="D83" s="29"/>
      <c r="E83" s="23" t="e">
        <f t="shared" si="11"/>
        <v>#DIV/0!</v>
      </c>
      <c r="F83" s="24" t="e">
        <f t="shared" si="12"/>
        <v>#DIV/0!</v>
      </c>
      <c r="G83" s="25"/>
      <c r="H83" s="26">
        <f t="shared" si="10"/>
        <v>-1</v>
      </c>
    </row>
    <row r="84" customHeight="1" spans="1:11">
      <c r="A84" s="21">
        <v>45662</v>
      </c>
      <c r="D84" s="29"/>
      <c r="E84" s="23" t="e">
        <f t="shared" si="11"/>
        <v>#DIV/0!</v>
      </c>
      <c r="F84" s="24" t="e">
        <f t="shared" si="12"/>
        <v>#DIV/0!</v>
      </c>
      <c r="G84" s="25"/>
      <c r="H84" s="26">
        <f t="shared" si="10"/>
        <v>-1</v>
      </c>
    </row>
    <row r="85" customHeight="1" spans="1:11">
      <c r="A85" s="21">
        <v>45663</v>
      </c>
      <c r="D85" s="29"/>
      <c r="E85" s="23" t="e">
        <f t="shared" si="11"/>
        <v>#DIV/0!</v>
      </c>
      <c r="F85" s="24" t="e">
        <f t="shared" si="12"/>
        <v>#DIV/0!</v>
      </c>
      <c r="G85" s="25"/>
      <c r="H85" s="26">
        <f t="shared" si="10"/>
        <v>-1</v>
      </c>
    </row>
    <row r="86" customHeight="1" spans="1:11">
      <c r="A86" s="21">
        <v>45664</v>
      </c>
      <c r="B86">
        <v>2449</v>
      </c>
      <c r="C86">
        <v>1621250.63</v>
      </c>
      <c r="D86" s="29">
        <v>1528.59</v>
      </c>
      <c r="E86" s="23">
        <f t="shared" si="11"/>
        <v>0.216213491186122</v>
      </c>
      <c r="F86" s="24">
        <f t="shared" si="12"/>
        <v>0.624169048591262</v>
      </c>
      <c r="G86" s="25">
        <f>C86+235362+100000+65000</f>
        <v>2021612.63</v>
      </c>
      <c r="H86" s="26">
        <f t="shared" si="10"/>
        <v>0.26350789375</v>
      </c>
    </row>
    <row r="87" customHeight="1" spans="1:11">
      <c r="A87" s="21">
        <v>45665</v>
      </c>
      <c r="D87" s="29"/>
      <c r="E87" s="23" t="e">
        <f t="shared" si="11"/>
        <v>#DIV/0!</v>
      </c>
      <c r="F87" s="24" t="e">
        <f t="shared" si="12"/>
        <v>#DIV/0!</v>
      </c>
      <c r="G87" s="25"/>
      <c r="H87" s="26">
        <f t="shared" si="10"/>
        <v>-1</v>
      </c>
    </row>
    <row r="88" customHeight="1" spans="1:11">
      <c r="A88" s="21">
        <v>45666</v>
      </c>
      <c r="D88" s="29"/>
      <c r="E88" s="23" t="e">
        <f t="shared" si="11"/>
        <v>#DIV/0!</v>
      </c>
      <c r="F88" s="24" t="e">
        <f t="shared" si="12"/>
        <v>#DIV/0!</v>
      </c>
      <c r="G88" s="25"/>
      <c r="H88" s="26">
        <f t="shared" si="10"/>
        <v>-1</v>
      </c>
    </row>
    <row r="89" customHeight="1" spans="1:11">
      <c r="A89" s="21">
        <v>45667</v>
      </c>
      <c r="D89" s="29"/>
      <c r="E89" s="23" t="e">
        <f t="shared" si="11"/>
        <v>#DIV/0!</v>
      </c>
      <c r="F89" s="24" t="e">
        <f t="shared" si="12"/>
        <v>#DIV/0!</v>
      </c>
      <c r="G89" s="25"/>
      <c r="H89" s="26">
        <f t="shared" si="10"/>
        <v>-1</v>
      </c>
    </row>
    <row r="90" customHeight="1" spans="1:11">
      <c r="A90" s="21">
        <v>45668</v>
      </c>
      <c r="D90" s="29"/>
      <c r="E90" s="23" t="e">
        <f t="shared" si="11"/>
        <v>#DIV/0!</v>
      </c>
      <c r="F90" s="24" t="e">
        <f t="shared" si="12"/>
        <v>#DIV/0!</v>
      </c>
      <c r="G90" s="25"/>
      <c r="H90" s="26">
        <f t="shared" si="10"/>
        <v>-1</v>
      </c>
    </row>
    <row r="91" customHeight="1" spans="1:11">
      <c r="A91" s="21">
        <v>45669</v>
      </c>
      <c r="D91" s="29"/>
      <c r="E91" s="23" t="e">
        <f t="shared" si="11"/>
        <v>#DIV/0!</v>
      </c>
      <c r="F91" s="24" t="e">
        <f t="shared" si="12"/>
        <v>#DIV/0!</v>
      </c>
      <c r="G91" s="25"/>
      <c r="H91" s="26">
        <f t="shared" si="10"/>
        <v>-1</v>
      </c>
    </row>
    <row r="92" customHeight="1" spans="1:11">
      <c r="A92" s="21">
        <v>45670</v>
      </c>
      <c r="B92">
        <v>2427</v>
      </c>
      <c r="C92">
        <v>1626663.91</v>
      </c>
      <c r="D92" s="29">
        <v>1441.88</v>
      </c>
      <c r="E92" s="23">
        <f t="shared" si="11"/>
        <v>0.203269968410377</v>
      </c>
      <c r="F92" s="24">
        <f t="shared" si="12"/>
        <v>0.59409971157808</v>
      </c>
      <c r="G92" s="25">
        <f>C92+251302+100000+74541.59</f>
        <v>2052507.5</v>
      </c>
      <c r="H92" s="26">
        <f t="shared" si="10"/>
        <v>0.2828171875</v>
      </c>
    </row>
    <row r="93" customHeight="1" spans="1:11">
      <c r="A93" s="21">
        <v>45687</v>
      </c>
      <c r="D93" s="29"/>
      <c r="E93" s="23" t="e">
        <f t="shared" si="11"/>
        <v>#DIV/0!</v>
      </c>
      <c r="F93" s="24" t="e">
        <f t="shared" si="12"/>
        <v>#DIV/0!</v>
      </c>
      <c r="G93" s="25"/>
      <c r="H93" s="26">
        <f t="shared" si="10"/>
        <v>-1</v>
      </c>
      <c r="I93" s="26"/>
    </row>
    <row r="94" customHeight="1" spans="1:11">
      <c r="A94" s="21">
        <v>45688</v>
      </c>
      <c r="B94">
        <v>2063</v>
      </c>
      <c r="C94">
        <v>1487703.35</v>
      </c>
      <c r="D94" s="29">
        <v>1100.96</v>
      </c>
      <c r="E94" s="23">
        <f t="shared" si="11"/>
        <v>0.169705974783212</v>
      </c>
      <c r="F94" s="24">
        <f t="shared" si="12"/>
        <v>0.533669413475521</v>
      </c>
      <c r="G94" s="25">
        <f>C94+432148+100000+155069</f>
        <v>2174920.35</v>
      </c>
      <c r="H94" s="26">
        <f t="shared" si="10"/>
        <v>0.35932521875</v>
      </c>
      <c r="I94" s="31">
        <f>H94/(9/12)</f>
        <v>0.479100291666667</v>
      </c>
    </row>
    <row r="95" customHeight="1" spans="1:11">
      <c r="A95" s="21">
        <v>45689</v>
      </c>
      <c r="D95" s="29"/>
      <c r="E95" s="23" t="e">
        <f t="shared" si="11"/>
        <v>#DIV/0!</v>
      </c>
      <c r="F95" s="24" t="e">
        <f t="shared" si="12"/>
        <v>#DIV/0!</v>
      </c>
      <c r="G95" s="25"/>
      <c r="H95" s="26">
        <f t="shared" si="10"/>
        <v>-1</v>
      </c>
    </row>
    <row r="96" customHeight="1" spans="1:11">
      <c r="A96" s="21">
        <v>45690</v>
      </c>
      <c r="B96">
        <v>1914</v>
      </c>
      <c r="C96">
        <v>1395287.91</v>
      </c>
      <c r="D96" s="29">
        <v>1038.3</v>
      </c>
      <c r="E96" s="23">
        <f t="shared" si="11"/>
        <v>0.170647903055363</v>
      </c>
      <c r="F96" s="24">
        <f t="shared" si="12"/>
        <v>0.542476489028213</v>
      </c>
      <c r="G96" s="25">
        <v>2165446.91</v>
      </c>
      <c r="H96" s="26">
        <f t="shared" si="10"/>
        <v>0.35340431875</v>
      </c>
      <c r="K96">
        <f>383484.7</f>
        <v>383484.7</v>
      </c>
    </row>
    <row r="97" customHeight="1" spans="1:11">
      <c r="A97" s="21">
        <v>45691</v>
      </c>
      <c r="B97">
        <v>1829</v>
      </c>
      <c r="C97">
        <v>1360155.31</v>
      </c>
      <c r="D97" s="29">
        <v>1020.89</v>
      </c>
      <c r="E97" s="23">
        <f t="shared" si="11"/>
        <v>0.172120413807744</v>
      </c>
      <c r="F97" s="24">
        <f t="shared" si="12"/>
        <v>0.558168398031711</v>
      </c>
      <c r="G97" s="25">
        <v>2179952.31</v>
      </c>
      <c r="H97" s="26">
        <f t="shared" si="10"/>
        <v>0.36247019375</v>
      </c>
      <c r="K97">
        <f>(K96-160000)</f>
        <v>223484.7</v>
      </c>
    </row>
    <row r="98" customHeight="1" spans="1:11">
      <c r="A98" s="21">
        <v>45692</v>
      </c>
      <c r="B98">
        <v>1763</v>
      </c>
      <c r="C98">
        <v>1286291.96</v>
      </c>
      <c r="D98" s="29">
        <v>985.89</v>
      </c>
      <c r="E98" s="23">
        <f t="shared" si="11"/>
        <v>0.175764369078386</v>
      </c>
      <c r="F98" s="24">
        <f t="shared" si="12"/>
        <v>0.559211571185479</v>
      </c>
      <c r="G98" s="25">
        <v>2179598.96</v>
      </c>
      <c r="H98" s="26">
        <f t="shared" si="10"/>
        <v>0.36224935</v>
      </c>
      <c r="K98">
        <f>K97-80000</f>
        <v>143484.7</v>
      </c>
    </row>
    <row r="99" customHeight="1" spans="1:11">
      <c r="A99" s="21">
        <v>45693</v>
      </c>
      <c r="B99">
        <v>1659</v>
      </c>
      <c r="C99">
        <v>1250112.41</v>
      </c>
      <c r="D99" s="29">
        <v>961.3</v>
      </c>
      <c r="E99" s="23">
        <f t="shared" si="11"/>
        <v>0.176340394860971</v>
      </c>
      <c r="F99" s="24">
        <f t="shared" si="12"/>
        <v>0.579445449065702</v>
      </c>
      <c r="G99" s="25">
        <v>2180878.41</v>
      </c>
      <c r="H99" s="26">
        <f t="shared" si="10"/>
        <v>0.36304900625</v>
      </c>
    </row>
    <row r="100" customHeight="1" spans="1:11">
      <c r="A100" s="21">
        <v>45694</v>
      </c>
      <c r="B100">
        <v>1551</v>
      </c>
      <c r="C100">
        <v>1233727.82</v>
      </c>
      <c r="D100" s="29">
        <v>922.57</v>
      </c>
      <c r="E100" s="23">
        <f t="shared" si="11"/>
        <v>0.171483327983963</v>
      </c>
      <c r="F100" s="24">
        <f t="shared" si="12"/>
        <v>0.594822695035461</v>
      </c>
      <c r="G100" s="25">
        <v>2249153.82</v>
      </c>
      <c r="H100" s="26">
        <f t="shared" si="10"/>
        <v>0.4057211375</v>
      </c>
    </row>
    <row r="101" customHeight="1" spans="1:11">
      <c r="A101" s="21">
        <v>45695</v>
      </c>
      <c r="B101">
        <v>1496</v>
      </c>
      <c r="C101">
        <v>1195826.13</v>
      </c>
      <c r="D101" s="29">
        <v>910.43</v>
      </c>
      <c r="E101" s="23">
        <f t="shared" si="11"/>
        <v>0.174590437825606</v>
      </c>
      <c r="F101" s="24">
        <f t="shared" si="12"/>
        <v>0.608576203208556</v>
      </c>
      <c r="G101" s="25">
        <v>2270393.13</v>
      </c>
      <c r="H101" s="26">
        <f t="shared" si="10"/>
        <v>0.41899570625</v>
      </c>
    </row>
    <row r="102" customHeight="1" spans="1:11">
      <c r="A102" s="21">
        <v>45696</v>
      </c>
      <c r="B102">
        <v>1449</v>
      </c>
      <c r="C102">
        <v>1201657.19</v>
      </c>
      <c r="D102" s="29">
        <v>883.87</v>
      </c>
      <c r="E102" s="23">
        <f t="shared" si="11"/>
        <v>0.168674618757118</v>
      </c>
      <c r="F102" s="24">
        <f t="shared" si="12"/>
        <v>0.609986197377502</v>
      </c>
      <c r="G102" s="25">
        <v>2294252.19</v>
      </c>
      <c r="H102" s="26">
        <f t="shared" si="10"/>
        <v>0.43390761875</v>
      </c>
    </row>
    <row r="103" customHeight="1" spans="1:11">
      <c r="A103" s="21">
        <v>45697</v>
      </c>
      <c r="B103">
        <v>1434</v>
      </c>
      <c r="C103">
        <v>1178064.39</v>
      </c>
      <c r="D103" s="29">
        <v>877.64</v>
      </c>
      <c r="E103" s="23">
        <f t="shared" si="11"/>
        <v>0.170839901883462</v>
      </c>
      <c r="F103" s="24">
        <f t="shared" si="12"/>
        <v>0.612022315202231</v>
      </c>
      <c r="G103" s="25">
        <v>2279962.39</v>
      </c>
      <c r="H103" s="26">
        <f t="shared" si="10"/>
        <v>0.42497649375</v>
      </c>
    </row>
    <row r="104" customHeight="1" spans="1:11">
      <c r="A104" s="21">
        <v>45698</v>
      </c>
      <c r="B104">
        <v>1352</v>
      </c>
      <c r="C104">
        <v>1074315.97</v>
      </c>
      <c r="D104" s="29">
        <v>841.97</v>
      </c>
      <c r="E104" s="23">
        <f t="shared" si="11"/>
        <v>0.179724183379681</v>
      </c>
      <c r="F104" s="24">
        <f t="shared" si="12"/>
        <v>0.622758875739645</v>
      </c>
      <c r="G104" s="25">
        <v>2230658.17</v>
      </c>
      <c r="H104" s="26">
        <f t="shared" si="10"/>
        <v>0.39416135625</v>
      </c>
    </row>
    <row r="105" customHeight="1" spans="1:11">
      <c r="A105" s="21">
        <v>45699</v>
      </c>
      <c r="B105">
        <v>1269</v>
      </c>
      <c r="C105">
        <v>1028144.84</v>
      </c>
      <c r="D105" s="29">
        <v>807.41</v>
      </c>
      <c r="E105" s="23">
        <f t="shared" si="11"/>
        <v>0.180086748477967</v>
      </c>
      <c r="F105" s="24">
        <f t="shared" si="12"/>
        <v>0.636256895193065</v>
      </c>
      <c r="G105" s="25">
        <v>2247555.84</v>
      </c>
      <c r="H105" s="26">
        <f t="shared" si="10"/>
        <v>0.4047224</v>
      </c>
    </row>
    <row r="106" customHeight="1" spans="1:11">
      <c r="A106" s="21">
        <v>45700</v>
      </c>
      <c r="D106" s="29"/>
      <c r="E106" s="23" t="e">
        <f t="shared" si="11"/>
        <v>#DIV/0!</v>
      </c>
      <c r="F106" s="24" t="e">
        <f t="shared" si="12"/>
        <v>#DIV/0!</v>
      </c>
      <c r="G106" s="25"/>
      <c r="H106" s="26">
        <f t="shared" si="10"/>
        <v>-1</v>
      </c>
    </row>
    <row r="107" customHeight="1" spans="1:11">
      <c r="A107" s="21">
        <v>45701</v>
      </c>
      <c r="B107">
        <v>1180</v>
      </c>
      <c r="C107">
        <v>983128.11</v>
      </c>
      <c r="D107" s="29">
        <v>756.27</v>
      </c>
      <c r="E107" s="23">
        <f t="shared" si="11"/>
        <v>0.176404107090377</v>
      </c>
      <c r="F107" s="24">
        <f t="shared" si="12"/>
        <v>0.640906779661017</v>
      </c>
      <c r="G107" s="25">
        <v>2265080.11</v>
      </c>
      <c r="H107" s="26">
        <f t="shared" si="10"/>
        <v>0.41567506875</v>
      </c>
    </row>
    <row r="108" customHeight="1" spans="1:11">
      <c r="A108" s="21">
        <v>45702</v>
      </c>
      <c r="B108">
        <v>1137</v>
      </c>
      <c r="C108">
        <v>945408.51</v>
      </c>
      <c r="D108" s="29">
        <v>728.53</v>
      </c>
      <c r="E108" s="23">
        <f t="shared" si="11"/>
        <v>0.176713555920921</v>
      </c>
      <c r="F108" s="24">
        <f t="shared" si="12"/>
        <v>0.640747581354442</v>
      </c>
      <c r="G108" s="25">
        <v>2259936.51</v>
      </c>
      <c r="H108" s="26">
        <f t="shared" si="10"/>
        <v>0.41246031875</v>
      </c>
    </row>
    <row r="109" customHeight="1" spans="1:11">
      <c r="A109" s="21">
        <v>45703</v>
      </c>
      <c r="B109">
        <v>960</v>
      </c>
      <c r="C109">
        <v>795124.89</v>
      </c>
      <c r="D109" s="29">
        <v>611.87</v>
      </c>
      <c r="E109" s="23">
        <f t="shared" si="11"/>
        <v>0.176467911097589</v>
      </c>
      <c r="F109" s="24">
        <f t="shared" si="12"/>
        <v>0.637364583333333</v>
      </c>
      <c r="G109" s="25">
        <v>2243133.89</v>
      </c>
      <c r="H109" s="26">
        <f t="shared" si="10"/>
        <v>0.40195868125</v>
      </c>
    </row>
    <row r="110" customHeight="1" spans="1:11">
      <c r="A110" s="21">
        <v>45704</v>
      </c>
      <c r="B110">
        <v>893</v>
      </c>
      <c r="C110">
        <v>746144.93</v>
      </c>
      <c r="D110" s="29">
        <v>571.88</v>
      </c>
      <c r="E110" s="23">
        <f t="shared" si="11"/>
        <v>0.175761459104198</v>
      </c>
      <c r="F110" s="24">
        <f t="shared" si="12"/>
        <v>0.64040313549832</v>
      </c>
      <c r="G110" s="25">
        <v>2266527.93</v>
      </c>
      <c r="H110" s="26">
        <f t="shared" ref="H110:H142" si="13">(G110-1600000)/1600000</f>
        <v>0.41657995625</v>
      </c>
    </row>
    <row r="111" customHeight="1" spans="1:11">
      <c r="A111" s="21">
        <v>45705</v>
      </c>
      <c r="B111">
        <v>831</v>
      </c>
      <c r="C111">
        <v>702184.44</v>
      </c>
      <c r="D111" s="29">
        <v>532.26</v>
      </c>
      <c r="E111" s="23">
        <f t="shared" si="11"/>
        <v>0.173825929836896</v>
      </c>
      <c r="F111" s="24">
        <f t="shared" si="12"/>
        <v>0.640505415162455</v>
      </c>
      <c r="G111" s="25">
        <v>2282738.44</v>
      </c>
      <c r="H111" s="26">
        <f t="shared" si="13"/>
        <v>0.426711525</v>
      </c>
    </row>
    <row r="112" customHeight="1" spans="1:11">
      <c r="A112" s="21">
        <v>45706</v>
      </c>
      <c r="B112">
        <v>742</v>
      </c>
      <c r="C112">
        <v>630990.78</v>
      </c>
      <c r="D112" s="29">
        <v>475.26</v>
      </c>
      <c r="E112" s="23">
        <f t="shared" si="11"/>
        <v>0.172723004288589</v>
      </c>
      <c r="F112" s="24">
        <f t="shared" si="12"/>
        <v>0.640512129380054</v>
      </c>
      <c r="G112" s="25">
        <v>2293953.78</v>
      </c>
      <c r="H112" s="26">
        <f t="shared" si="13"/>
        <v>0.4337211125</v>
      </c>
    </row>
    <row r="113" customHeight="1" spans="1:9">
      <c r="A113" s="21">
        <v>45707</v>
      </c>
      <c r="B113">
        <v>672</v>
      </c>
      <c r="C113">
        <v>574565.72</v>
      </c>
      <c r="D113" s="29">
        <v>428.83</v>
      </c>
      <c r="E113" s="23">
        <f t="shared" si="11"/>
        <v>0.171154129417954</v>
      </c>
      <c r="F113" s="24">
        <f t="shared" si="12"/>
        <v>0.638139880952381</v>
      </c>
      <c r="G113" s="25">
        <f>C113+554617+700000+475380</f>
        <v>2304562.72</v>
      </c>
      <c r="H113" s="26">
        <f t="shared" si="13"/>
        <v>0.4403517</v>
      </c>
    </row>
    <row r="114" customHeight="1" spans="1:9">
      <c r="A114" s="21">
        <v>45708</v>
      </c>
      <c r="B114">
        <v>370</v>
      </c>
      <c r="C114">
        <v>404353.9</v>
      </c>
      <c r="D114" s="29">
        <v>232.6</v>
      </c>
      <c r="E114" s="23">
        <f t="shared" si="11"/>
        <v>0.131913732005553</v>
      </c>
      <c r="F114" s="24">
        <f t="shared" si="12"/>
        <v>0.628648648648649</v>
      </c>
      <c r="G114" s="25">
        <f>C114+671838+820000+415587</f>
        <v>2311778.9</v>
      </c>
      <c r="H114" s="26">
        <f t="shared" si="13"/>
        <v>0.4448618125</v>
      </c>
    </row>
    <row r="115" customHeight="1" spans="1:9">
      <c r="A115" s="21">
        <v>45709</v>
      </c>
      <c r="D115" s="29"/>
      <c r="E115" s="23" t="e">
        <f t="shared" si="11"/>
        <v>#DIV/0!</v>
      </c>
      <c r="F115" s="24" t="e">
        <f t="shared" si="12"/>
        <v>#DIV/0!</v>
      </c>
      <c r="G115" s="25"/>
      <c r="H115" s="26">
        <f t="shared" si="13"/>
        <v>-1</v>
      </c>
    </row>
    <row r="116" customHeight="1" spans="1:9">
      <c r="A116" s="21">
        <v>45710</v>
      </c>
      <c r="D116" s="29"/>
      <c r="E116" s="23" t="e">
        <f t="shared" si="11"/>
        <v>#DIV/0!</v>
      </c>
      <c r="F116" s="24" t="e">
        <f t="shared" si="12"/>
        <v>#DIV/0!</v>
      </c>
      <c r="G116" s="25"/>
      <c r="H116" s="26">
        <f t="shared" si="13"/>
        <v>-1</v>
      </c>
    </row>
    <row r="117" customHeight="1" spans="1:9">
      <c r="A117" s="21">
        <v>45711</v>
      </c>
      <c r="B117">
        <v>107</v>
      </c>
      <c r="C117">
        <v>86827.18</v>
      </c>
      <c r="D117" s="29">
        <v>64.19</v>
      </c>
      <c r="E117" s="23">
        <f t="shared" si="11"/>
        <v>0.169532752301756</v>
      </c>
      <c r="F117" s="24">
        <f t="shared" si="12"/>
        <v>0.599906542056075</v>
      </c>
      <c r="G117" s="25">
        <f>C117+745627+1000000+460152</f>
        <v>2292606.18</v>
      </c>
      <c r="H117" s="26">
        <f t="shared" si="13"/>
        <v>0.4328788625</v>
      </c>
    </row>
    <row r="118" customHeight="1" spans="1:9">
      <c r="A118" s="21">
        <v>45712</v>
      </c>
      <c r="B118">
        <v>101</v>
      </c>
      <c r="C118">
        <v>82650.86</v>
      </c>
      <c r="D118" s="29">
        <v>61.12</v>
      </c>
      <c r="E118" s="23">
        <f t="shared" si="11"/>
        <v>0.169581277194212</v>
      </c>
      <c r="F118" s="24">
        <f t="shared" si="12"/>
        <v>0.605148514851485</v>
      </c>
      <c r="G118" s="25">
        <f>C118+725951.68+1000000+484193.64</f>
        <v>2292796.18</v>
      </c>
      <c r="H118" s="26">
        <f t="shared" si="13"/>
        <v>0.4329976125</v>
      </c>
    </row>
    <row r="119" customHeight="1" spans="1:9">
      <c r="A119" s="21">
        <v>45713</v>
      </c>
      <c r="B119">
        <v>84</v>
      </c>
      <c r="C119">
        <v>68163.33</v>
      </c>
      <c r="D119" s="29">
        <v>51.15</v>
      </c>
      <c r="E119" s="23">
        <f t="shared" si="11"/>
        <v>0.172082525897722</v>
      </c>
      <c r="F119" s="24">
        <f t="shared" si="12"/>
        <v>0.608928571428571</v>
      </c>
      <c r="G119" s="25">
        <f>C119+653638+1060000+502056</f>
        <v>2283857.33</v>
      </c>
      <c r="H119" s="26">
        <f t="shared" si="13"/>
        <v>0.42741083125</v>
      </c>
    </row>
    <row r="120" customHeight="1" spans="1:9">
      <c r="A120" s="21">
        <v>45714</v>
      </c>
      <c r="B120">
        <v>42</v>
      </c>
      <c r="C120">
        <v>33024.46</v>
      </c>
      <c r="D120" s="29">
        <v>22.99</v>
      </c>
      <c r="E120" s="23">
        <f t="shared" si="11"/>
        <v>0.159641271954182</v>
      </c>
      <c r="F120" s="24">
        <f t="shared" si="12"/>
        <v>0.547380952380952</v>
      </c>
      <c r="G120" s="25">
        <f>C120+601059+1120000+542214</f>
        <v>2296297.46</v>
      </c>
      <c r="H120" s="26">
        <f t="shared" si="13"/>
        <v>0.4351859125</v>
      </c>
    </row>
    <row r="121" customHeight="1" spans="1:9">
      <c r="A121" s="21">
        <v>45715</v>
      </c>
      <c r="B121">
        <v>30</v>
      </c>
      <c r="C121">
        <v>23369.8</v>
      </c>
      <c r="D121" s="29">
        <v>15.48</v>
      </c>
      <c r="E121" s="23">
        <f t="shared" si="11"/>
        <v>0.151900041934462</v>
      </c>
      <c r="F121" s="24">
        <f t="shared" si="12"/>
        <v>0.516</v>
      </c>
      <c r="G121" s="25">
        <f>C121+538879+1180000+550800</f>
        <v>2293048.8</v>
      </c>
      <c r="H121" s="26">
        <f t="shared" si="13"/>
        <v>0.4331555</v>
      </c>
    </row>
    <row r="122" customHeight="1" spans="1:9">
      <c r="A122" s="21">
        <v>45716</v>
      </c>
      <c r="B122">
        <v>26</v>
      </c>
      <c r="C122">
        <v>19470.14</v>
      </c>
      <c r="D122" s="29">
        <v>12.78</v>
      </c>
      <c r="E122" s="23">
        <f t="shared" si="11"/>
        <v>0.150523293617817</v>
      </c>
      <c r="F122" s="24">
        <f t="shared" si="12"/>
        <v>0.491538461538462</v>
      </c>
      <c r="G122" s="25">
        <f>C122+398313+1240000+644280</f>
        <v>2302063.14</v>
      </c>
      <c r="H122" s="26">
        <f t="shared" si="13"/>
        <v>0.4387894625</v>
      </c>
      <c r="I122" s="31">
        <f>H122/(10/12)</f>
        <v>0.526547355</v>
      </c>
    </row>
    <row r="123" customHeight="1" spans="1:9">
      <c r="A123" s="21">
        <v>45717</v>
      </c>
      <c r="B123">
        <v>23</v>
      </c>
      <c r="C123">
        <v>16751.23</v>
      </c>
      <c r="D123" s="29">
        <v>11.17</v>
      </c>
      <c r="E123" s="23">
        <f t="shared" si="11"/>
        <v>0.15291440688236</v>
      </c>
      <c r="F123" s="24">
        <f t="shared" si="12"/>
        <v>0.485652173913043</v>
      </c>
      <c r="G123" s="25">
        <f>C123+270221+1300000+703783</f>
        <v>2290755.23</v>
      </c>
      <c r="H123" s="26">
        <f t="shared" si="13"/>
        <v>0.43172201875</v>
      </c>
    </row>
    <row r="124" customHeight="1" spans="1:9">
      <c r="A124" s="21">
        <v>45718</v>
      </c>
      <c r="B124">
        <v>20</v>
      </c>
      <c r="C124">
        <v>15516.32</v>
      </c>
      <c r="D124" s="29">
        <v>9.94</v>
      </c>
      <c r="E124" s="23">
        <f t="shared" si="11"/>
        <v>0.146906018952948</v>
      </c>
      <c r="F124" s="24">
        <f t="shared" si="12"/>
        <v>0.497</v>
      </c>
      <c r="G124" s="25">
        <f>C124+134806+1420000+721604</f>
        <v>2291926.32</v>
      </c>
      <c r="H124" s="26">
        <f t="shared" si="13"/>
        <v>0.43245395</v>
      </c>
    </row>
    <row r="125" customHeight="1" spans="1:9">
      <c r="A125" s="21">
        <v>45719</v>
      </c>
      <c r="D125" s="29"/>
      <c r="E125" s="23" t="e">
        <f t="shared" si="11"/>
        <v>#DIV/0!</v>
      </c>
      <c r="F125" s="24" t="e">
        <f t="shared" si="12"/>
        <v>#DIV/0!</v>
      </c>
      <c r="G125" s="25"/>
      <c r="H125" s="26">
        <f t="shared" si="13"/>
        <v>-1</v>
      </c>
    </row>
    <row r="126" customHeight="1" spans="1:9">
      <c r="A126" s="21">
        <v>45720</v>
      </c>
      <c r="D126" s="29"/>
      <c r="E126" s="23" t="e">
        <f t="shared" si="11"/>
        <v>#DIV/0!</v>
      </c>
      <c r="F126" s="24" t="e">
        <f t="shared" si="12"/>
        <v>#DIV/0!</v>
      </c>
      <c r="G126" s="25"/>
      <c r="H126" s="26">
        <f t="shared" si="13"/>
        <v>-1</v>
      </c>
    </row>
    <row r="127" customHeight="1" spans="1:9">
      <c r="A127" s="21">
        <v>45721</v>
      </c>
      <c r="D127" s="29"/>
      <c r="E127" s="23" t="e">
        <f t="shared" si="11"/>
        <v>#DIV/0!</v>
      </c>
      <c r="F127" s="24" t="e">
        <f t="shared" si="12"/>
        <v>#DIV/0!</v>
      </c>
      <c r="G127" s="25"/>
      <c r="H127" s="26">
        <f t="shared" si="13"/>
        <v>-1</v>
      </c>
    </row>
    <row r="128" customHeight="1" spans="1:9">
      <c r="A128" s="21">
        <v>45722</v>
      </c>
      <c r="B128">
        <v>14</v>
      </c>
      <c r="C128">
        <v>12025.5</v>
      </c>
      <c r="D128" s="29">
        <v>7.61</v>
      </c>
      <c r="E128" s="23">
        <f t="shared" si="11"/>
        <v>0.145118722714232</v>
      </c>
      <c r="F128" s="24">
        <f t="shared" si="12"/>
        <v>0.543571428571429</v>
      </c>
      <c r="G128" s="25">
        <f>C128+54122.1+1600000+627368</f>
        <v>2293515.6</v>
      </c>
      <c r="H128" s="26">
        <f t="shared" si="13"/>
        <v>0.43344725</v>
      </c>
    </row>
    <row r="129" customHeight="1" spans="1:8">
      <c r="A129" s="21">
        <v>45723</v>
      </c>
      <c r="D129" s="29"/>
      <c r="E129" s="23" t="e">
        <f t="shared" si="11"/>
        <v>#DIV/0!</v>
      </c>
      <c r="F129" s="24" t="e">
        <f t="shared" si="12"/>
        <v>#DIV/0!</v>
      </c>
      <c r="G129" s="25"/>
      <c r="H129" s="26">
        <f t="shared" si="13"/>
        <v>-1</v>
      </c>
    </row>
    <row r="130" customHeight="1" spans="1:8">
      <c r="A130" s="21">
        <v>45724</v>
      </c>
      <c r="D130" s="29"/>
      <c r="E130" s="23" t="e">
        <f t="shared" ref="E130:E142" si="14">((D130*0.9)*196*1.3)/C130</f>
        <v>#DIV/0!</v>
      </c>
      <c r="F130" s="24" t="e">
        <f t="shared" ref="F130:F142" si="15">D130/B130</f>
        <v>#DIV/0!</v>
      </c>
      <c r="G130" s="25"/>
      <c r="H130" s="26">
        <f t="shared" si="13"/>
        <v>-1</v>
      </c>
    </row>
    <row r="131" customHeight="1" spans="1:8">
      <c r="A131" s="21">
        <v>45725</v>
      </c>
      <c r="D131" s="29"/>
      <c r="E131" s="23" t="e">
        <f t="shared" si="14"/>
        <v>#DIV/0!</v>
      </c>
      <c r="F131" s="24" t="e">
        <f t="shared" si="15"/>
        <v>#DIV/0!</v>
      </c>
      <c r="G131" s="25"/>
      <c r="H131" s="26">
        <f t="shared" si="13"/>
        <v>-1</v>
      </c>
    </row>
    <row r="132" customHeight="1" spans="1:8">
      <c r="A132" s="21">
        <v>45726</v>
      </c>
      <c r="D132" s="29"/>
      <c r="E132" s="23" t="e">
        <f t="shared" si="14"/>
        <v>#DIV/0!</v>
      </c>
      <c r="F132" s="24" t="e">
        <f t="shared" si="15"/>
        <v>#DIV/0!</v>
      </c>
      <c r="G132" s="25"/>
      <c r="H132" s="26">
        <f t="shared" si="13"/>
        <v>-1</v>
      </c>
    </row>
    <row r="133" customHeight="1" spans="1:8">
      <c r="A133" s="21">
        <v>45727</v>
      </c>
      <c r="D133" s="29"/>
      <c r="E133" s="23" t="e">
        <f t="shared" si="14"/>
        <v>#DIV/0!</v>
      </c>
      <c r="F133" s="24" t="e">
        <f t="shared" si="15"/>
        <v>#DIV/0!</v>
      </c>
      <c r="G133" s="25"/>
      <c r="H133" s="26">
        <f t="shared" si="13"/>
        <v>-1</v>
      </c>
    </row>
    <row r="134" customHeight="1" spans="1:8">
      <c r="A134" s="21">
        <v>45728</v>
      </c>
      <c r="D134" s="29"/>
      <c r="E134" s="23" t="e">
        <f t="shared" si="14"/>
        <v>#DIV/0!</v>
      </c>
      <c r="F134" s="24" t="e">
        <f t="shared" si="15"/>
        <v>#DIV/0!</v>
      </c>
      <c r="G134" s="25"/>
      <c r="H134" s="26">
        <f t="shared" si="13"/>
        <v>-1</v>
      </c>
    </row>
    <row r="135" customHeight="1" spans="1:8">
      <c r="A135" s="21">
        <v>45729</v>
      </c>
      <c r="D135" s="29"/>
      <c r="E135" s="23" t="e">
        <f t="shared" si="14"/>
        <v>#DIV/0!</v>
      </c>
      <c r="F135" s="24" t="e">
        <f t="shared" si="15"/>
        <v>#DIV/0!</v>
      </c>
      <c r="G135" s="25"/>
      <c r="H135" s="26">
        <f t="shared" si="13"/>
        <v>-1</v>
      </c>
    </row>
    <row r="136" customHeight="1" spans="1:8">
      <c r="A136" s="21">
        <v>45730</v>
      </c>
      <c r="D136" s="29"/>
      <c r="E136" s="23" t="e">
        <f t="shared" si="14"/>
        <v>#DIV/0!</v>
      </c>
      <c r="F136" s="24" t="e">
        <f t="shared" si="15"/>
        <v>#DIV/0!</v>
      </c>
      <c r="G136" s="25"/>
      <c r="H136" s="26">
        <f t="shared" si="13"/>
        <v>-1</v>
      </c>
    </row>
    <row r="137" customHeight="1" spans="1:8">
      <c r="A137" s="21">
        <v>45731</v>
      </c>
      <c r="D137" s="29"/>
      <c r="E137" s="23" t="e">
        <f t="shared" si="14"/>
        <v>#DIV/0!</v>
      </c>
      <c r="F137" s="24" t="e">
        <f t="shared" si="15"/>
        <v>#DIV/0!</v>
      </c>
      <c r="G137" s="25"/>
      <c r="H137" s="26">
        <f t="shared" si="13"/>
        <v>-1</v>
      </c>
    </row>
    <row r="138" customHeight="1" spans="1:8">
      <c r="A138" s="21">
        <v>45732</v>
      </c>
      <c r="D138" s="29"/>
      <c r="E138" s="23" t="e">
        <f t="shared" si="14"/>
        <v>#DIV/0!</v>
      </c>
      <c r="F138" s="24" t="e">
        <f t="shared" si="15"/>
        <v>#DIV/0!</v>
      </c>
      <c r="G138" s="25"/>
      <c r="H138" s="26">
        <f t="shared" si="13"/>
        <v>-1</v>
      </c>
    </row>
    <row r="139" customHeight="1" spans="1:8">
      <c r="A139" s="21">
        <v>45733</v>
      </c>
      <c r="D139" s="29"/>
      <c r="E139" s="23" t="e">
        <f t="shared" si="14"/>
        <v>#DIV/0!</v>
      </c>
      <c r="F139" s="24" t="e">
        <f t="shared" si="15"/>
        <v>#DIV/0!</v>
      </c>
      <c r="G139" s="25"/>
      <c r="H139" s="26">
        <f t="shared" si="13"/>
        <v>-1</v>
      </c>
    </row>
    <row r="140" customHeight="1" spans="1:8">
      <c r="A140" s="21">
        <v>45734</v>
      </c>
      <c r="D140" s="29"/>
      <c r="E140" s="23" t="e">
        <f t="shared" si="14"/>
        <v>#DIV/0!</v>
      </c>
      <c r="F140" s="24" t="e">
        <f t="shared" si="15"/>
        <v>#DIV/0!</v>
      </c>
      <c r="G140" s="25"/>
      <c r="H140" s="26">
        <f t="shared" si="13"/>
        <v>-1</v>
      </c>
    </row>
    <row r="141" customHeight="1" spans="1:8">
      <c r="A141" s="21">
        <v>45735</v>
      </c>
      <c r="B141">
        <v>1</v>
      </c>
      <c r="C141">
        <v>1500</v>
      </c>
      <c r="D141" s="29">
        <v>0.6</v>
      </c>
      <c r="E141" s="23">
        <f t="shared" si="14"/>
        <v>0.091728</v>
      </c>
      <c r="F141" s="24">
        <f t="shared" si="15"/>
        <v>0.6</v>
      </c>
      <c r="G141" s="25">
        <v>2000</v>
      </c>
      <c r="H141" s="26">
        <f t="shared" si="13"/>
        <v>-0.99875</v>
      </c>
    </row>
    <row r="142" customHeight="1" spans="1:8">
      <c r="A142" s="21">
        <v>45736</v>
      </c>
      <c r="D142" s="29"/>
      <c r="E142" s="23" t="e">
        <f t="shared" si="14"/>
        <v>#DIV/0!</v>
      </c>
      <c r="F142" s="24" t="e">
        <f t="shared" si="15"/>
        <v>#DIV/0!</v>
      </c>
      <c r="G142" s="25"/>
      <c r="H142" s="26">
        <f t="shared" si="13"/>
        <v>-1</v>
      </c>
    </row>
    <row r="143" customHeight="1" spans="1:8">
      <c r="A143" s="21"/>
      <c r="D143" s="29"/>
      <c r="E143" s="23"/>
      <c r="F143" s="24"/>
      <c r="G143" s="25"/>
      <c r="H143" s="26"/>
    </row>
    <row r="144" customHeight="1" spans="1:8">
      <c r="A144" s="21"/>
      <c r="D144" s="29"/>
      <c r="E144" s="23"/>
      <c r="F144" s="24"/>
      <c r="G144" s="25"/>
      <c r="H144" s="26"/>
    </row>
    <row r="145" customHeight="1" spans="1:8">
      <c r="A145" s="21"/>
      <c r="D145" s="29"/>
      <c r="E145" s="23"/>
      <c r="F145" s="24"/>
      <c r="G145" s="25"/>
      <c r="H145" s="26"/>
    </row>
    <row r="146" customHeight="1" spans="1:8">
      <c r="A146" s="21"/>
      <c r="D146" s="29"/>
      <c r="E146" s="23"/>
      <c r="F146" s="24"/>
      <c r="G146" s="25"/>
      <c r="H146" s="26"/>
    </row>
    <row r="147" customHeight="1" spans="1:8">
      <c r="A147" s="21"/>
      <c r="D147" s="29"/>
      <c r="E147" s="23"/>
      <c r="F147" s="24"/>
      <c r="G147" s="25"/>
      <c r="H147" s="26"/>
    </row>
    <row r="148" customHeight="1" spans="1:8">
      <c r="A148" s="21"/>
      <c r="D148" s="29"/>
      <c r="E148" s="23"/>
      <c r="F148" s="24"/>
      <c r="G148" s="25"/>
      <c r="H148" s="26"/>
    </row>
    <row r="149" customHeight="1" spans="1:8">
      <c r="A149" s="21"/>
      <c r="D149" s="29"/>
      <c r="E149" s="23"/>
      <c r="F149" s="24"/>
      <c r="G149" s="25"/>
      <c r="H149" s="26"/>
    </row>
    <row r="150" customHeight="1" spans="1:8">
      <c r="A150" s="21"/>
      <c r="D150" s="29"/>
      <c r="E150" s="23"/>
      <c r="F150" s="24"/>
      <c r="G150" s="25"/>
      <c r="H150" s="26"/>
    </row>
    <row r="151" customHeight="1" spans="1:8">
      <c r="A151" s="21"/>
      <c r="D151" s="29"/>
      <c r="E151" s="23"/>
      <c r="F151" s="24"/>
      <c r="G151" s="25"/>
      <c r="H151" s="26"/>
    </row>
    <row r="152" customHeight="1" spans="1:8">
      <c r="A152" s="21"/>
      <c r="D152" s="29"/>
      <c r="E152" s="23"/>
      <c r="F152" s="24"/>
      <c r="G152" s="25"/>
      <c r="H152" s="26"/>
    </row>
    <row r="153" customHeight="1" spans="1:8">
      <c r="A153" s="21"/>
      <c r="D153" s="29"/>
      <c r="E153" s="23"/>
      <c r="F153" s="24"/>
      <c r="G153" s="25"/>
      <c r="H153" s="26"/>
    </row>
    <row r="154" customHeight="1" spans="1:8">
      <c r="A154" s="21"/>
      <c r="D154" s="29"/>
      <c r="E154" s="23"/>
      <c r="F154" s="24"/>
      <c r="G154" s="25"/>
      <c r="H154" s="26"/>
    </row>
    <row r="155" customHeight="1" spans="1:8">
      <c r="A155" s="21"/>
      <c r="D155" s="29"/>
      <c r="E155" s="23"/>
      <c r="F155" s="24"/>
      <c r="G155" s="25"/>
      <c r="H155" s="26"/>
    </row>
    <row r="156" customHeight="1" spans="1:8">
      <c r="A156" s="21"/>
      <c r="D156" s="29"/>
      <c r="E156" s="23"/>
      <c r="F156" s="24"/>
      <c r="G156" s="25"/>
      <c r="H156" s="26"/>
    </row>
    <row r="157" customHeight="1" spans="1:8">
      <c r="A157" s="21"/>
      <c r="D157" s="29"/>
      <c r="E157" s="23"/>
      <c r="F157" s="24"/>
      <c r="G157" s="25"/>
      <c r="H157" s="26"/>
    </row>
    <row r="158" customHeight="1" spans="1:8">
      <c r="A158" s="21"/>
      <c r="D158" s="29"/>
      <c r="E158" s="23"/>
      <c r="F158" s="24"/>
      <c r="G158" s="25"/>
      <c r="H158" s="26"/>
    </row>
    <row r="159" customHeight="1" spans="1:8">
      <c r="A159" s="21"/>
      <c r="D159" s="29"/>
      <c r="E159" s="23"/>
      <c r="F159" s="24"/>
      <c r="G159" s="25"/>
      <c r="H159" s="26"/>
    </row>
    <row r="160" customHeight="1" spans="1:8">
      <c r="A160" s="21"/>
      <c r="D160" s="29"/>
      <c r="E160" s="23"/>
      <c r="F160" s="24"/>
      <c r="G160" s="25"/>
      <c r="H160" s="26"/>
    </row>
    <row r="161" customHeight="1" spans="1:8">
      <c r="A161" s="21"/>
      <c r="D161" s="29"/>
      <c r="E161" s="23"/>
      <c r="F161" s="24"/>
      <c r="G161" s="25"/>
      <c r="H161" s="26"/>
    </row>
    <row r="162" customHeight="1" spans="1:8">
      <c r="A162" s="21"/>
      <c r="D162" s="29"/>
      <c r="E162" s="23"/>
      <c r="F162" s="24"/>
      <c r="G162" s="25"/>
      <c r="H162" s="26"/>
    </row>
  </sheetData>
  <mergeCells count="2">
    <mergeCell ref="J26:L26"/>
    <mergeCell ref="N26:P2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KHH (更新前）"/>
  <dimension ref="A1:G11"/>
  <sheetViews>
    <sheetView workbookViewId="0">
      <selection activeCell="A1" sqref="A1"/>
    </sheetView>
  </sheetViews>
  <sheetFormatPr defaultColWidth="14" defaultRowHeight="18" customHeight="1" outlineLevelCol="6"/>
  <cols>
    <col min="4" max="4" width="21.9809523809524" customWidth="1"/>
  </cols>
  <sheetData>
    <row r="1" customHeight="1" spans="1:7">
      <c r="A1" s="1" t="s">
        <v>35</v>
      </c>
      <c r="B1" s="1" t="s">
        <v>36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</v>
      </c>
    </row>
    <row r="2" customHeight="1" spans="1:7">
      <c r="A2" s="12">
        <v>45358</v>
      </c>
      <c r="B2">
        <v>1025</v>
      </c>
      <c r="C2">
        <v>1082328.36</v>
      </c>
      <c r="D2">
        <v>1279.98</v>
      </c>
      <c r="E2" s="3">
        <f t="shared" ref="E2:E11" si="0">(D2*0.8)*195/(C2/1.4)</f>
        <v>0.258283569322715</v>
      </c>
      <c r="F2" s="4">
        <f t="shared" ref="F2:F11" si="1">(D2*0.8)*210/(C2/1.7)</f>
        <v>0.337755436806627</v>
      </c>
      <c r="G2" s="5">
        <f t="shared" ref="G2:G11" si="2">D2/B2</f>
        <v>1.24876097560976</v>
      </c>
    </row>
    <row r="3" customHeight="1" spans="1:7">
      <c r="A3" s="12">
        <v>45360</v>
      </c>
      <c r="B3">
        <v>1129</v>
      </c>
      <c r="C3">
        <v>1085296.68</v>
      </c>
      <c r="D3">
        <v>1263.18</v>
      </c>
      <c r="E3" s="3">
        <f t="shared" si="0"/>
        <v>0.254196402775322</v>
      </c>
      <c r="F3" s="4">
        <f t="shared" si="1"/>
        <v>0.332410680552345</v>
      </c>
      <c r="G3" s="5">
        <f t="shared" si="2"/>
        <v>1.11884853852967</v>
      </c>
    </row>
    <row r="4" customHeight="1" spans="1:7">
      <c r="A4" s="13">
        <v>45369</v>
      </c>
      <c r="B4">
        <v>1184</v>
      </c>
      <c r="C4">
        <v>1141034.83</v>
      </c>
      <c r="D4">
        <v>1312.84</v>
      </c>
      <c r="E4" s="3">
        <f t="shared" si="0"/>
        <v>0.251284402948506</v>
      </c>
      <c r="F4" s="4">
        <f t="shared" si="1"/>
        <v>0.328602680778815</v>
      </c>
      <c r="G4" s="5">
        <f t="shared" si="2"/>
        <v>1.10881756756757</v>
      </c>
    </row>
    <row r="5" customHeight="1" spans="1:7">
      <c r="A5" s="13">
        <v>45371</v>
      </c>
      <c r="B5">
        <v>1391</v>
      </c>
      <c r="C5">
        <v>1385387.48</v>
      </c>
      <c r="D5">
        <v>1568.91</v>
      </c>
      <c r="E5" s="3">
        <f t="shared" si="0"/>
        <v>0.247331485917572</v>
      </c>
      <c r="F5" s="4">
        <f t="shared" si="1"/>
        <v>0.323433481584517</v>
      </c>
      <c r="G5" s="5">
        <f t="shared" si="2"/>
        <v>1.12790079079799</v>
      </c>
    </row>
    <row r="6" customHeight="1" spans="1:7">
      <c r="A6" s="13">
        <v>45374</v>
      </c>
      <c r="B6">
        <v>1438</v>
      </c>
      <c r="C6">
        <v>1447641.34</v>
      </c>
      <c r="D6">
        <v>1627</v>
      </c>
      <c r="E6" s="3">
        <f t="shared" si="0"/>
        <v>0.245459141143344</v>
      </c>
      <c r="F6" s="4">
        <f t="shared" si="1"/>
        <v>0.320985030725912</v>
      </c>
      <c r="G6" s="5">
        <f t="shared" si="2"/>
        <v>1.13143254520167</v>
      </c>
    </row>
    <row r="7" customHeight="1" spans="1:7">
      <c r="A7" s="13">
        <v>45375</v>
      </c>
      <c r="B7">
        <v>1683</v>
      </c>
      <c r="C7">
        <v>1607671.04</v>
      </c>
      <c r="D7">
        <v>1808.11</v>
      </c>
      <c r="E7" s="3">
        <f t="shared" si="0"/>
        <v>0.245629369550627</v>
      </c>
      <c r="F7" s="4">
        <f t="shared" si="1"/>
        <v>0.321207637104665</v>
      </c>
      <c r="G7" s="5">
        <f t="shared" si="2"/>
        <v>1.07433749257279</v>
      </c>
    </row>
    <row r="8" customHeight="1" spans="1:7">
      <c r="A8" s="14">
        <v>45383</v>
      </c>
      <c r="B8">
        <v>1022</v>
      </c>
      <c r="C8">
        <v>1023012.18</v>
      </c>
      <c r="D8">
        <v>1066.99</v>
      </c>
      <c r="E8" s="3">
        <f t="shared" si="0"/>
        <v>0.227788701401385</v>
      </c>
      <c r="F8" s="4">
        <f t="shared" si="1"/>
        <v>0.297877532601811</v>
      </c>
      <c r="G8" s="5">
        <f t="shared" si="2"/>
        <v>1.04402152641879</v>
      </c>
    </row>
    <row r="9" customHeight="1" spans="1:7">
      <c r="A9" s="14">
        <v>45384.0208333333</v>
      </c>
      <c r="B9">
        <v>924</v>
      </c>
      <c r="C9">
        <v>624425.65</v>
      </c>
      <c r="D9">
        <v>984.77</v>
      </c>
      <c r="E9" s="3">
        <f t="shared" si="0"/>
        <v>0.344434550374412</v>
      </c>
      <c r="F9" s="4">
        <f t="shared" si="1"/>
        <v>0.450414412028077</v>
      </c>
      <c r="G9" s="5">
        <f t="shared" si="2"/>
        <v>1.0657683982684</v>
      </c>
    </row>
    <row r="10" customHeight="1" spans="1:7">
      <c r="A10" s="15" t="s">
        <v>71</v>
      </c>
      <c r="B10">
        <v>1109</v>
      </c>
      <c r="C10">
        <v>701773</v>
      </c>
      <c r="D10">
        <v>1164.3</v>
      </c>
      <c r="E10" s="3">
        <f t="shared" si="0"/>
        <v>0.362343834829781</v>
      </c>
      <c r="F10" s="4">
        <f t="shared" si="1"/>
        <v>0.473834245546637</v>
      </c>
      <c r="G10" s="5">
        <f t="shared" si="2"/>
        <v>1.04986474301172</v>
      </c>
    </row>
    <row r="11" customHeight="1" spans="1:7">
      <c r="A11" s="15" t="s">
        <v>72</v>
      </c>
      <c r="B11">
        <v>244</v>
      </c>
      <c r="C11">
        <v>185115.23</v>
      </c>
      <c r="D11">
        <v>245.03</v>
      </c>
      <c r="E11" s="3">
        <f t="shared" si="0"/>
        <v>0.289087786023873</v>
      </c>
      <c r="F11" s="4">
        <f t="shared" si="1"/>
        <v>0.378037874031218</v>
      </c>
      <c r="G11" s="5">
        <f t="shared" si="2"/>
        <v>1.00422131147541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YH(更新前）"/>
  <dimension ref="A1:H16"/>
  <sheetViews>
    <sheetView workbookViewId="0">
      <selection activeCell="A1" sqref="A1"/>
    </sheetView>
  </sheetViews>
  <sheetFormatPr defaultColWidth="14" defaultRowHeight="18" customHeight="1" outlineLevelCol="7"/>
  <cols>
    <col min="1" max="1" width="9.17142857142857" customWidth="1"/>
  </cols>
  <sheetData>
    <row r="1" customHeight="1" spans="1:8">
      <c r="A1" s="1" t="s">
        <v>35</v>
      </c>
      <c r="B1" s="1" t="s">
        <v>36</v>
      </c>
      <c r="C1" s="1" t="s">
        <v>67</v>
      </c>
      <c r="D1" s="1" t="s">
        <v>3</v>
      </c>
      <c r="E1" s="1" t="s">
        <v>69</v>
      </c>
      <c r="F1" s="1" t="s">
        <v>70</v>
      </c>
      <c r="G1" s="1" t="s">
        <v>7</v>
      </c>
    </row>
    <row r="2" customHeight="1" spans="1:8">
      <c r="A2" s="2">
        <v>45358</v>
      </c>
      <c r="B2">
        <v>997</v>
      </c>
      <c r="C2">
        <v>438939.44</v>
      </c>
      <c r="D2">
        <v>641.14</v>
      </c>
      <c r="E2" s="3">
        <f t="shared" ref="E2:E15" si="0">(D2*0.8)*182.5/(C2/1.4)</f>
        <v>0.29855830681335</v>
      </c>
      <c r="F2" s="4">
        <f t="shared" ref="F2:F15" si="1">(D2*0.8)*210/(C2/1.7)</f>
        <v>0.417163661574818</v>
      </c>
      <c r="G2" s="5">
        <f t="shared" ref="G2:G16" si="2">D2/B2</f>
        <v>0.643069207622869</v>
      </c>
    </row>
    <row r="3" customHeight="1" spans="1:8">
      <c r="A3" s="2">
        <v>45360</v>
      </c>
      <c r="B3">
        <v>1308</v>
      </c>
      <c r="C3">
        <v>644361.12</v>
      </c>
      <c r="D3">
        <v>902.84</v>
      </c>
      <c r="E3" s="3">
        <f t="shared" si="0"/>
        <v>0.286392971692643</v>
      </c>
      <c r="F3" s="4">
        <f t="shared" si="1"/>
        <v>0.400165522091091</v>
      </c>
      <c r="G3" s="5">
        <f t="shared" si="2"/>
        <v>0.690244648318043</v>
      </c>
    </row>
    <row r="4" customHeight="1" spans="1:8">
      <c r="A4" s="2">
        <v>45364</v>
      </c>
      <c r="B4">
        <v>745</v>
      </c>
      <c r="C4">
        <v>435372.56</v>
      </c>
      <c r="D4">
        <v>567.46</v>
      </c>
      <c r="E4" s="3">
        <f t="shared" si="0"/>
        <v>0.266412802864747</v>
      </c>
      <c r="F4" s="4">
        <f t="shared" si="1"/>
        <v>0.372248025920605</v>
      </c>
      <c r="G4" s="5">
        <f t="shared" si="2"/>
        <v>0.761691275167785</v>
      </c>
    </row>
    <row r="5" customHeight="1" spans="1:8">
      <c r="A5" s="2">
        <v>45372</v>
      </c>
      <c r="B5">
        <v>877</v>
      </c>
      <c r="C5">
        <v>387730.23</v>
      </c>
      <c r="D5">
        <v>518.85</v>
      </c>
      <c r="E5" s="3">
        <f t="shared" si="0"/>
        <v>0.273522495266877</v>
      </c>
      <c r="F5" s="4">
        <f t="shared" si="1"/>
        <v>0.382182116674266</v>
      </c>
      <c r="G5" s="5">
        <f t="shared" si="2"/>
        <v>0.591619156214367</v>
      </c>
    </row>
    <row r="6" customHeight="1" spans="1:8">
      <c r="A6" s="2">
        <v>45373</v>
      </c>
      <c r="B6">
        <v>982</v>
      </c>
      <c r="C6">
        <v>446958.32</v>
      </c>
      <c r="D6">
        <v>596.98</v>
      </c>
      <c r="E6" s="3">
        <f t="shared" si="0"/>
        <v>0.27300691482821</v>
      </c>
      <c r="F6" s="4">
        <f t="shared" si="1"/>
        <v>0.38146171660928</v>
      </c>
      <c r="G6" s="5">
        <f t="shared" si="2"/>
        <v>0.607922606924644</v>
      </c>
    </row>
    <row r="7" customHeight="1" spans="1:8">
      <c r="A7" s="2">
        <v>45374</v>
      </c>
      <c r="B7">
        <v>1164</v>
      </c>
      <c r="C7">
        <v>566418.63</v>
      </c>
      <c r="D7">
        <v>722.46</v>
      </c>
      <c r="E7" s="3">
        <f t="shared" si="0"/>
        <v>0.260709687462081</v>
      </c>
      <c r="F7" s="4">
        <f t="shared" si="1"/>
        <v>0.364279289330579</v>
      </c>
      <c r="G7" s="5">
        <f t="shared" si="2"/>
        <v>0.620670103092784</v>
      </c>
    </row>
    <row r="8" customHeight="1" spans="1:8">
      <c r="A8" s="2">
        <v>45375</v>
      </c>
      <c r="B8">
        <v>1159</v>
      </c>
      <c r="C8">
        <v>568138.64</v>
      </c>
      <c r="D8">
        <v>727.21</v>
      </c>
      <c r="E8" s="3">
        <f t="shared" si="0"/>
        <v>0.261629316393618</v>
      </c>
      <c r="F8" s="4">
        <f t="shared" si="1"/>
        <v>0.365564250303412</v>
      </c>
      <c r="G8" s="5">
        <f t="shared" si="2"/>
        <v>0.627446074201898</v>
      </c>
    </row>
    <row r="9" customHeight="1" spans="1:8">
      <c r="A9" s="2">
        <v>45376</v>
      </c>
      <c r="B9">
        <v>1570</v>
      </c>
      <c r="C9">
        <v>756545.48</v>
      </c>
      <c r="D9">
        <v>951.07</v>
      </c>
      <c r="E9" s="3">
        <f t="shared" si="0"/>
        <v>0.256955745740494</v>
      </c>
      <c r="F9" s="4">
        <f t="shared" si="1"/>
        <v>0.359034055692197</v>
      </c>
      <c r="G9" s="5">
        <f t="shared" si="2"/>
        <v>0.605777070063694</v>
      </c>
    </row>
    <row r="10" customHeight="1" spans="1:8">
      <c r="A10" s="2">
        <v>45377</v>
      </c>
      <c r="B10">
        <v>1771</v>
      </c>
      <c r="C10">
        <v>844848.64</v>
      </c>
      <c r="D10">
        <v>1075.38</v>
      </c>
      <c r="E10" s="3">
        <f t="shared" si="0"/>
        <v>0.260174025965172</v>
      </c>
      <c r="F10" s="4">
        <f t="shared" si="1"/>
        <v>0.363530830800651</v>
      </c>
      <c r="G10" s="5">
        <f t="shared" si="2"/>
        <v>0.607216261998871</v>
      </c>
    </row>
    <row r="11" customHeight="1" spans="1:8">
      <c r="A11" s="6">
        <v>45378</v>
      </c>
      <c r="B11">
        <v>1584</v>
      </c>
      <c r="C11">
        <v>790706.82</v>
      </c>
      <c r="D11">
        <v>977</v>
      </c>
      <c r="E11" s="3">
        <f t="shared" si="0"/>
        <v>0.252557325861942</v>
      </c>
      <c r="F11" s="4">
        <f t="shared" si="1"/>
        <v>0.352888318327645</v>
      </c>
      <c r="G11" s="5">
        <f t="shared" si="2"/>
        <v>0.616792929292929</v>
      </c>
    </row>
    <row r="12" customHeight="1" spans="1:8">
      <c r="A12" s="7">
        <v>45380</v>
      </c>
      <c r="B12" s="8">
        <v>1337</v>
      </c>
      <c r="C12" s="8">
        <v>682544.25</v>
      </c>
      <c r="D12" s="8">
        <v>834.1</v>
      </c>
      <c r="E12" s="9">
        <f t="shared" si="0"/>
        <v>0.249786061489786</v>
      </c>
      <c r="F12" s="10">
        <f t="shared" si="1"/>
        <v>0.349016140711756</v>
      </c>
      <c r="G12" s="11">
        <f t="shared" si="2"/>
        <v>0.623859386686612</v>
      </c>
      <c r="H12" s="8" t="s">
        <v>73</v>
      </c>
    </row>
    <row r="13" customHeight="1" spans="1:8">
      <c r="A13" s="6">
        <v>45381</v>
      </c>
      <c r="B13">
        <v>1398</v>
      </c>
      <c r="C13">
        <v>741907.29</v>
      </c>
      <c r="D13">
        <v>929.84</v>
      </c>
      <c r="E13" s="3">
        <f t="shared" si="0"/>
        <v>0.25617661204003</v>
      </c>
      <c r="F13" s="4">
        <f t="shared" si="1"/>
        <v>0.357945403124425</v>
      </c>
      <c r="G13" s="5">
        <f t="shared" si="2"/>
        <v>0.665121602288984</v>
      </c>
      <c r="H13" t="s">
        <v>74</v>
      </c>
    </row>
    <row r="14" customHeight="1" spans="1:8">
      <c r="A14" s="6">
        <v>45382</v>
      </c>
      <c r="B14">
        <v>1620</v>
      </c>
      <c r="C14">
        <v>797173.29</v>
      </c>
      <c r="D14">
        <v>1031.04</v>
      </c>
      <c r="E14" s="3">
        <f t="shared" si="0"/>
        <v>0.264364823362308</v>
      </c>
      <c r="F14" s="4">
        <f t="shared" si="1"/>
        <v>0.369386465519937</v>
      </c>
      <c r="G14" s="5">
        <f t="shared" si="2"/>
        <v>0.636444444444444</v>
      </c>
    </row>
    <row r="15" customHeight="1" spans="1:8">
      <c r="A15" s="6">
        <v>45383</v>
      </c>
      <c r="B15">
        <v>1652</v>
      </c>
      <c r="C15">
        <v>804455.47</v>
      </c>
      <c r="D15">
        <v>1057.8</v>
      </c>
      <c r="E15" s="3">
        <f t="shared" si="0"/>
        <v>0.26877102346013</v>
      </c>
      <c r="F15" s="4">
        <f t="shared" si="1"/>
        <v>0.375543073875798</v>
      </c>
      <c r="G15" s="5">
        <f t="shared" si="2"/>
        <v>0.640314769975787</v>
      </c>
    </row>
    <row r="16" customHeight="1" spans="1:8">
      <c r="A16" s="6">
        <v>45384</v>
      </c>
      <c r="B16">
        <v>1395</v>
      </c>
      <c r="C16">
        <v>453280.68</v>
      </c>
      <c r="D16">
        <v>952.04</v>
      </c>
      <c r="E16" s="3">
        <f>(D16*0.8)*182.5/(C16)</f>
        <v>0.306648498674155</v>
      </c>
      <c r="F16" s="4" t="s">
        <v>41</v>
      </c>
      <c r="G16" s="5">
        <f t="shared" si="2"/>
        <v>0.682465949820788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KHH</vt:lpstr>
      <vt:lpstr>HYH4-6月</vt:lpstr>
      <vt:lpstr>HYH</vt:lpstr>
      <vt:lpstr>KHH (更新前）</vt:lpstr>
      <vt:lpstr>HYH(更新前）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♔Allure♚</cp:lastModifiedBy>
  <dcterms:created xsi:type="dcterms:W3CDTF">2026-03-21T17:10:00Z</dcterms:created>
  <dcterms:modified xsi:type="dcterms:W3CDTF">2026-03-21T09:20:35Z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5D5A91074E2141978A8ED1D74D44485A_12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